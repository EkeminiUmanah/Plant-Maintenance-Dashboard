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 defaultThemeVersion="124226"/>
  <xr:revisionPtr revIDLastSave="0" documentId="8_{6E8D5B5C-60FF-42A3-B732-888796CA9044}" xr6:coauthVersionLast="47" xr6:coauthVersionMax="47" xr10:uidLastSave="{00000000-0000-0000-0000-000000000000}"/>
  <bookViews>
    <workbookView xWindow="240" yWindow="15" windowWidth="16095" windowHeight="9660" firstSheet="4" activeTab="5" xr2:uid="{00000000-000D-0000-FFFF-FFFF00000000}"/>
  </bookViews>
  <sheets>
    <sheet name="Equipment_Master" sheetId="1" r:id="rId1"/>
    <sheet name="Work_Orders" sheetId="2" r:id="rId2"/>
    <sheet name="Equipment_Metrics" sheetId="3" r:id="rId3"/>
    <sheet name="KPI_Summary" sheetId="4" r:id="rId4"/>
    <sheet name="Pivots" sheetId="6" r:id="rId5"/>
    <sheet name="Dashboard" sheetId="7" r:id="rId6"/>
  </sheets>
  <definedNames>
    <definedName name="Slicer_Status">#N/A</definedName>
  </definedNames>
  <calcPr calcId="191028"/>
  <pivotCaches>
    <pivotCache cacheId="1285" r:id="rId7"/>
    <pivotCache cacheId="1286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7" l="1"/>
  <c r="H6" i="7"/>
  <c r="E6" i="7"/>
  <c r="Q6" i="7"/>
  <c r="O6" i="7"/>
  <c r="M6" i="7"/>
  <c r="B6" i="7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</calcChain>
</file>

<file path=xl/sharedStrings.xml><?xml version="1.0" encoding="utf-8"?>
<sst xmlns="http://schemas.openxmlformats.org/spreadsheetml/2006/main" count="5349" uniqueCount="1536">
  <si>
    <t>Equipment_ID</t>
  </si>
  <si>
    <t>Equipment_Name</t>
  </si>
  <si>
    <t>Equipment_Type</t>
  </si>
  <si>
    <t>Criticality</t>
  </si>
  <si>
    <t>Location</t>
  </si>
  <si>
    <t>Installed_Date</t>
  </si>
  <si>
    <t>Status</t>
  </si>
  <si>
    <t>EQ-100</t>
  </si>
  <si>
    <t>Diesel Generator A-100</t>
  </si>
  <si>
    <t>Diesel Generator</t>
  </si>
  <si>
    <t>Critical</t>
  </si>
  <si>
    <t>Onshore Facility</t>
  </si>
  <si>
    <t>2021-03-25</t>
  </si>
  <si>
    <t>Operational</t>
  </si>
  <si>
    <t>EQ-101</t>
  </si>
  <si>
    <t>Gas Turbine A-101</t>
  </si>
  <si>
    <t>Gas Turbine</t>
  </si>
  <si>
    <t>Platform A</t>
  </si>
  <si>
    <t>2017-05-10</t>
  </si>
  <si>
    <t>EQ-102</t>
  </si>
  <si>
    <t>Centrifugal Pump A-102</t>
  </si>
  <si>
    <t>Centrifugal Pump</t>
  </si>
  <si>
    <t>Platform B</t>
  </si>
  <si>
    <t>2018-04-24</t>
  </si>
  <si>
    <t>EQ-103</t>
  </si>
  <si>
    <t>Storage Tank A-103</t>
  </si>
  <si>
    <t>Storage Tank</t>
  </si>
  <si>
    <t>Processing Unit</t>
  </si>
  <si>
    <t>2021-07-04</t>
  </si>
  <si>
    <t>EQ-104</t>
  </si>
  <si>
    <t>Control Valve A-104</t>
  </si>
  <si>
    <t>Control Valve</t>
  </si>
  <si>
    <t>Low</t>
  </si>
  <si>
    <t>2022-03-10</t>
  </si>
  <si>
    <t>EQ-105</t>
  </si>
  <si>
    <t>Electric Motor A-105</t>
  </si>
  <si>
    <t>Electric Motor</t>
  </si>
  <si>
    <t>High</t>
  </si>
  <si>
    <t>2020-03-15</t>
  </si>
  <si>
    <t>EQ-106</t>
  </si>
  <si>
    <t>Turbine A-106</t>
  </si>
  <si>
    <t>Turbine</t>
  </si>
  <si>
    <t>2017-03-17</t>
  </si>
  <si>
    <t>EQ-107</t>
  </si>
  <si>
    <t>Centrifugal Pump A-107</t>
  </si>
  <si>
    <t>Medium</t>
  </si>
  <si>
    <t>2019-09-25</t>
  </si>
  <si>
    <t>EQ-108</t>
  </si>
  <si>
    <t>Control Valve A-108</t>
  </si>
  <si>
    <t>2017-07-03</t>
  </si>
  <si>
    <t>EQ-109</t>
  </si>
  <si>
    <t>Gas Compressor A-109</t>
  </si>
  <si>
    <t>Gas Compressor</t>
  </si>
  <si>
    <t>2020-09-24</t>
  </si>
  <si>
    <t>Standby</t>
  </si>
  <si>
    <t>EQ-110</t>
  </si>
  <si>
    <t>Reactor B-110</t>
  </si>
  <si>
    <t>Reactor</t>
  </si>
  <si>
    <t>2019-09-19</t>
  </si>
  <si>
    <t>EQ-111</t>
  </si>
  <si>
    <t>Diesel Generator B-111</t>
  </si>
  <si>
    <t>2019-10-29</t>
  </si>
  <si>
    <t>EQ-112</t>
  </si>
  <si>
    <t>Diesel Generator B-112</t>
  </si>
  <si>
    <t>2017-02-22</t>
  </si>
  <si>
    <t>EQ-113</t>
  </si>
  <si>
    <t>Storage Tank B-113</t>
  </si>
  <si>
    <t>2018-10-17</t>
  </si>
  <si>
    <t>EQ-114</t>
  </si>
  <si>
    <t>Diesel Generator B-114</t>
  </si>
  <si>
    <t>2016-04-19</t>
  </si>
  <si>
    <t>EQ-115</t>
  </si>
  <si>
    <t>Boiler B-115</t>
  </si>
  <si>
    <t>Boiler</t>
  </si>
  <si>
    <t>2023-08-14</t>
  </si>
  <si>
    <t>EQ-116</t>
  </si>
  <si>
    <t>Turbine B-116</t>
  </si>
  <si>
    <t>2017-08-13</t>
  </si>
  <si>
    <t>Under Maintenance</t>
  </si>
  <si>
    <t>EQ-117</t>
  </si>
  <si>
    <t>Electric Motor B-117</t>
  </si>
  <si>
    <t>2019-07-17</t>
  </si>
  <si>
    <t>EQ-118</t>
  </si>
  <si>
    <t>Diesel Generator B-118</t>
  </si>
  <si>
    <t>2022-05-31</t>
  </si>
  <si>
    <t>EQ-119</t>
  </si>
  <si>
    <t>Storage Tank B-119</t>
  </si>
  <si>
    <t>2017-06-07</t>
  </si>
  <si>
    <t>EQ-120</t>
  </si>
  <si>
    <t>Pressure Vessel C-120</t>
  </si>
  <si>
    <t>Pressure Vessel</t>
  </si>
  <si>
    <t>2018-04-06</t>
  </si>
  <si>
    <t>EQ-121</t>
  </si>
  <si>
    <t>Boiler C-121</t>
  </si>
  <si>
    <t>2022-04-06</t>
  </si>
  <si>
    <t>EQ-122</t>
  </si>
  <si>
    <t>Boiler C-122</t>
  </si>
  <si>
    <t>2019-08-30</t>
  </si>
  <si>
    <t>EQ-123</t>
  </si>
  <si>
    <t>Separator C-123</t>
  </si>
  <si>
    <t>Separator</t>
  </si>
  <si>
    <t>2016-05-07</t>
  </si>
  <si>
    <t>EQ-124</t>
  </si>
  <si>
    <t>Diesel Generator C-124</t>
  </si>
  <si>
    <t>2016-10-15</t>
  </si>
  <si>
    <t>EQ-125</t>
  </si>
  <si>
    <t>Control Valve C-125</t>
  </si>
  <si>
    <t>2023-12-10</t>
  </si>
  <si>
    <t>EQ-126</t>
  </si>
  <si>
    <t>Gas Turbine C-126</t>
  </si>
  <si>
    <t>2018-04-14</t>
  </si>
  <si>
    <t>EQ-127</t>
  </si>
  <si>
    <t>Reactor C-127</t>
  </si>
  <si>
    <t>EQ-128</t>
  </si>
  <si>
    <t>Heat Exchanger C-128</t>
  </si>
  <si>
    <t>Heat Exchanger</t>
  </si>
  <si>
    <t>2017-04-05</t>
  </si>
  <si>
    <t>EQ-129</t>
  </si>
  <si>
    <t>Centrifugal Pump C-129</t>
  </si>
  <si>
    <t>2020-07-12</t>
  </si>
  <si>
    <t>WO_Number</t>
  </si>
  <si>
    <t>Maintenance_Type</t>
  </si>
  <si>
    <t>Priority</t>
  </si>
  <si>
    <t>Created_Date</t>
  </si>
  <si>
    <t>Scheduled_Start</t>
  </si>
  <si>
    <t>Actual_Start</t>
  </si>
  <si>
    <t>Completion_Date</t>
  </si>
  <si>
    <t>Downtime_Hours</t>
  </si>
  <si>
    <t>Cost_NGN</t>
  </si>
  <si>
    <t>Failure_Type</t>
  </si>
  <si>
    <t>Technician</t>
  </si>
  <si>
    <t>Description</t>
  </si>
  <si>
    <t>Year_Month</t>
  </si>
  <si>
    <t>Status_Order</t>
  </si>
  <si>
    <t>Maintenance_Type_Order</t>
  </si>
  <si>
    <t>Year_Month2</t>
  </si>
  <si>
    <t>WO-1000</t>
  </si>
  <si>
    <t>Inspection</t>
  </si>
  <si>
    <t>Completed</t>
  </si>
  <si>
    <t>2025-01-31</t>
  </si>
  <si>
    <t>2025-01-31 21:44</t>
  </si>
  <si>
    <t>2025-01-31 23:00</t>
  </si>
  <si>
    <t>No Failure</t>
  </si>
  <si>
    <t>Chidi Eze</t>
  </si>
  <si>
    <t>Inspection maintenance on Diesel Generator A-100</t>
  </si>
  <si>
    <t>WO-1001</t>
  </si>
  <si>
    <t>Corrective</t>
  </si>
  <si>
    <t>In Progress</t>
  </si>
  <si>
    <t>2025-03-16</t>
  </si>
  <si>
    <t>2025-03-16 21:44</t>
  </si>
  <si>
    <t>Fatima Bello</t>
  </si>
  <si>
    <t>Corrective maintenance on Diesel Generator A-100</t>
  </si>
  <si>
    <t>WO-1002</t>
  </si>
  <si>
    <t>2025-12-10</t>
  </si>
  <si>
    <t>2025-12-10 21:44</t>
  </si>
  <si>
    <t>2025-12-10 23:20</t>
  </si>
  <si>
    <t>Zainab Yusuf</t>
  </si>
  <si>
    <t>WO-1003</t>
  </si>
  <si>
    <t>Preventive</t>
  </si>
  <si>
    <t>2025-04-16</t>
  </si>
  <si>
    <t>2025-04-16 21:44</t>
  </si>
  <si>
    <t>2025-04-17 00:23</t>
  </si>
  <si>
    <t>John Okafor</t>
  </si>
  <si>
    <t>Preventive maintenance on Diesel Generator A-100</t>
  </si>
  <si>
    <t>WO-1004</t>
  </si>
  <si>
    <t>2025-01-07</t>
  </si>
  <si>
    <t>2025-01-07 21:44</t>
  </si>
  <si>
    <t>2025-01-08 08:20</t>
  </si>
  <si>
    <t>WO-1005</t>
  </si>
  <si>
    <t>Breakdown</t>
  </si>
  <si>
    <t>2025-10-13</t>
  </si>
  <si>
    <t>2025-10-13 21:44</t>
  </si>
  <si>
    <t>2025-10-15 00:39</t>
  </si>
  <si>
    <t>Calibration Drift</t>
  </si>
  <si>
    <t>Tunde Adeleke</t>
  </si>
  <si>
    <t>Breakdown maintenance on Diesel Generator A-100</t>
  </si>
  <si>
    <t>WO-1006</t>
  </si>
  <si>
    <t>2025-07-20</t>
  </si>
  <si>
    <t>2025-07-20 21:44</t>
  </si>
  <si>
    <t>2025-07-21 04:24</t>
  </si>
  <si>
    <t>WO-1007</t>
  </si>
  <si>
    <t>2025-04-28</t>
  </si>
  <si>
    <t>2025-04-28 21:44</t>
  </si>
  <si>
    <t>2025-04-29 13:24</t>
  </si>
  <si>
    <t>Bearing Wear</t>
  </si>
  <si>
    <t>Amina Ibrahim</t>
  </si>
  <si>
    <t>WO-1008</t>
  </si>
  <si>
    <t>2025-09-29</t>
  </si>
  <si>
    <t>2025-09-29 21:44</t>
  </si>
  <si>
    <t>2025-09-30 00:43</t>
  </si>
  <si>
    <t>WO-1009</t>
  </si>
  <si>
    <t>2025-08-27</t>
  </si>
  <si>
    <t>2025-08-27 21:44</t>
  </si>
  <si>
    <t>WO-1010</t>
  </si>
  <si>
    <t>2025-07-09</t>
  </si>
  <si>
    <t>2025-07-09 21:44</t>
  </si>
  <si>
    <t>2025-07-10 02:23</t>
  </si>
  <si>
    <t>WO-1011</t>
  </si>
  <si>
    <t>2025-05-22</t>
  </si>
  <si>
    <t>2025-05-22 21:44</t>
  </si>
  <si>
    <t>2025-05-23 01:55</t>
  </si>
  <si>
    <t>WO-1012</t>
  </si>
  <si>
    <t>Planned</t>
  </si>
  <si>
    <t>2025-09-19</t>
  </si>
  <si>
    <t>2025-09-19 21:44</t>
  </si>
  <si>
    <t>WO-1013</t>
  </si>
  <si>
    <t>2025-01-25</t>
  </si>
  <si>
    <t>2025-01-25 21:44</t>
  </si>
  <si>
    <t>2025-01-26 06:29</t>
  </si>
  <si>
    <t>WO-1014</t>
  </si>
  <si>
    <t>2025-11-23</t>
  </si>
  <si>
    <t>2025-11-23 21:44</t>
  </si>
  <si>
    <t>2025-11-24 13:25</t>
  </si>
  <si>
    <t>Electrical Fault</t>
  </si>
  <si>
    <t>WO-1015</t>
  </si>
  <si>
    <t>2025-02-27</t>
  </si>
  <si>
    <t>2025-02-27 21:44</t>
  </si>
  <si>
    <t>2025-02-28 06:27</t>
  </si>
  <si>
    <t>WO-1016</t>
  </si>
  <si>
    <t>2025-02-11</t>
  </si>
  <si>
    <t>2025-02-11 21:44</t>
  </si>
  <si>
    <t>2025-02-12 03:12</t>
  </si>
  <si>
    <t>WO-1017</t>
  </si>
  <si>
    <t>2025-03-12</t>
  </si>
  <si>
    <t>2025-03-12 21:44</t>
  </si>
  <si>
    <t>2025-03-13 04:07</t>
  </si>
  <si>
    <t>WO-1018</t>
  </si>
  <si>
    <t>2025-11-26</t>
  </si>
  <si>
    <t>2025-11-26 21:44</t>
  </si>
  <si>
    <t>Breakdown maintenance on Gas Turbine A-101</t>
  </si>
  <si>
    <t>WO-1019</t>
  </si>
  <si>
    <t>2025-05-10</t>
  </si>
  <si>
    <t>2025-05-10 21:44</t>
  </si>
  <si>
    <t>2025-05-11 17:00</t>
  </si>
  <si>
    <t>Corrosion</t>
  </si>
  <si>
    <t>WO-1020</t>
  </si>
  <si>
    <t>2025-01-17</t>
  </si>
  <si>
    <t>2025-01-17 21:44</t>
  </si>
  <si>
    <t>2025-01-18 00:40</t>
  </si>
  <si>
    <t>Emeka Okonkwo</t>
  </si>
  <si>
    <t>Preventive maintenance on Gas Turbine A-101</t>
  </si>
  <si>
    <t>WO-1021</t>
  </si>
  <si>
    <t>2025-08-05</t>
  </si>
  <si>
    <t>2025-08-05 21:44</t>
  </si>
  <si>
    <t>2025-08-06 05:15</t>
  </si>
  <si>
    <t>WO-1022</t>
  </si>
  <si>
    <t>2025-10-16</t>
  </si>
  <si>
    <t>2025-10-16 21:44</t>
  </si>
  <si>
    <t>2025-10-17 12:47</t>
  </si>
  <si>
    <t>Leakage</t>
  </si>
  <si>
    <t>Corrective maintenance on Gas Turbine A-101</t>
  </si>
  <si>
    <t>WO-1023</t>
  </si>
  <si>
    <t>2025-04-08</t>
  </si>
  <si>
    <t>2025-04-08 21:44</t>
  </si>
  <si>
    <t>2025-04-09 00:47</t>
  </si>
  <si>
    <t>Inspection maintenance on Gas Turbine A-101</t>
  </si>
  <si>
    <t>WO-1024</t>
  </si>
  <si>
    <t>2025-04-22</t>
  </si>
  <si>
    <t>2025-04-22 21:44</t>
  </si>
  <si>
    <t>WO-1025</t>
  </si>
  <si>
    <t>2025-06-10</t>
  </si>
  <si>
    <t>2025-06-10 21:44</t>
  </si>
  <si>
    <t>2025-06-11 07:34</t>
  </si>
  <si>
    <t>WO-1026</t>
  </si>
  <si>
    <t>2025-07-05</t>
  </si>
  <si>
    <t>2025-07-05 21:44</t>
  </si>
  <si>
    <t>WO-1027</t>
  </si>
  <si>
    <t>2025-04-17</t>
  </si>
  <si>
    <t>2025-04-17 21:44</t>
  </si>
  <si>
    <t>2025-04-18 01:58</t>
  </si>
  <si>
    <t>WO-1028</t>
  </si>
  <si>
    <t>Cancelled</t>
  </si>
  <si>
    <t>2025-09-08</t>
  </si>
  <si>
    <t>2025-09-08 21:44</t>
  </si>
  <si>
    <t>WO-1029</t>
  </si>
  <si>
    <t>2025-05-04</t>
  </si>
  <si>
    <t>2025-05-04 21:44</t>
  </si>
  <si>
    <t>WO-1030</t>
  </si>
  <si>
    <t>2025-05-31</t>
  </si>
  <si>
    <t>2025-05-31 21:44</t>
  </si>
  <si>
    <t>WO-1031</t>
  </si>
  <si>
    <t>2025-12-19</t>
  </si>
  <si>
    <t>2025-12-19 21:44</t>
  </si>
  <si>
    <t>2025-12-20 04:06</t>
  </si>
  <si>
    <t>WO-1032</t>
  </si>
  <si>
    <t>2025-01-26</t>
  </si>
  <si>
    <t>2025-01-26 21:44</t>
  </si>
  <si>
    <t>WO-1033</t>
  </si>
  <si>
    <t>2025-09-07</t>
  </si>
  <si>
    <t>2025-09-07 21:44</t>
  </si>
  <si>
    <t>2025-09-08 18:07</t>
  </si>
  <si>
    <t>Overheating</t>
  </si>
  <si>
    <t>WO-1034</t>
  </si>
  <si>
    <t>2025-12-03</t>
  </si>
  <si>
    <t>2025-12-03 21:44</t>
  </si>
  <si>
    <t>2025-12-04 16:42</t>
  </si>
  <si>
    <t>WO-1035</t>
  </si>
  <si>
    <t>2025-07-30</t>
  </si>
  <si>
    <t>2025-07-30 21:44</t>
  </si>
  <si>
    <t>2025-07-31 07:36</t>
  </si>
  <si>
    <t>WO-1036</t>
  </si>
  <si>
    <t>2025-11-24</t>
  </si>
  <si>
    <t>2025-11-24 21:44</t>
  </si>
  <si>
    <t>2025-11-25 09:08</t>
  </si>
  <si>
    <t>WO-1037</t>
  </si>
  <si>
    <t>2025-04-02</t>
  </si>
  <si>
    <t>2025-04-02 21:44</t>
  </si>
  <si>
    <t>2025-04-03 04:41</t>
  </si>
  <si>
    <t>Vibration</t>
  </si>
  <si>
    <t>WO-1038</t>
  </si>
  <si>
    <t>2025-11-09</t>
  </si>
  <si>
    <t>2025-11-09 21:44</t>
  </si>
  <si>
    <t>2025-11-10 05:30</t>
  </si>
  <si>
    <t>WO-1039</t>
  </si>
  <si>
    <t>2025-02-14</t>
  </si>
  <si>
    <t>2025-02-14 21:44</t>
  </si>
  <si>
    <t>2025-02-15 01:04</t>
  </si>
  <si>
    <t>WO-1040</t>
  </si>
  <si>
    <t>2025-02-22</t>
  </si>
  <si>
    <t>2025-02-22 21:44</t>
  </si>
  <si>
    <t>2025-02-23 00:06</t>
  </si>
  <si>
    <t>WO-1041</t>
  </si>
  <si>
    <t>2025-09-06</t>
  </si>
  <si>
    <t>2025-09-06 21:44</t>
  </si>
  <si>
    <t>WO-1042</t>
  </si>
  <si>
    <t>2025-08-09</t>
  </si>
  <si>
    <t>2025-08-09 21:44</t>
  </si>
  <si>
    <t>2025-08-10 16:06</t>
  </si>
  <si>
    <t>Control System Error</t>
  </si>
  <si>
    <t>WO-1043</t>
  </si>
  <si>
    <t>2025-12-22</t>
  </si>
  <si>
    <t>2025-12-22 21:44</t>
  </si>
  <si>
    <t>2025-12-23 02:36</t>
  </si>
  <si>
    <t>Preventive maintenance on Centrifugal Pump A-102</t>
  </si>
  <si>
    <t>WO-1044</t>
  </si>
  <si>
    <t>2025-03-10</t>
  </si>
  <si>
    <t>2025-03-10 21:44</t>
  </si>
  <si>
    <t>2025-03-11 06:48</t>
  </si>
  <si>
    <t>WO-1045</t>
  </si>
  <si>
    <t>2025-10-17</t>
  </si>
  <si>
    <t>2025-10-17 21:44</t>
  </si>
  <si>
    <t>2025-10-19 19:35</t>
  </si>
  <si>
    <t>Aisha Mohammed</t>
  </si>
  <si>
    <t>Breakdown maintenance on Centrifugal Pump A-102</t>
  </si>
  <si>
    <t>WO-1046</t>
  </si>
  <si>
    <t>WO-1047</t>
  </si>
  <si>
    <t>2025-05-11 04:06</t>
  </si>
  <si>
    <t>WO-1048</t>
  </si>
  <si>
    <t>2025-11-05</t>
  </si>
  <si>
    <t>2025-11-05 21:44</t>
  </si>
  <si>
    <t>WO-1049</t>
  </si>
  <si>
    <t>2025-07-29</t>
  </si>
  <si>
    <t>2025-07-29 21:44</t>
  </si>
  <si>
    <t>2025-07-30 01:06</t>
  </si>
  <si>
    <t>WO-1050</t>
  </si>
  <si>
    <t>2025-07-04</t>
  </si>
  <si>
    <t>2025-07-04 21:44</t>
  </si>
  <si>
    <t>WO-1051</t>
  </si>
  <si>
    <t>2025-09-24</t>
  </si>
  <si>
    <t>2025-09-24 21:44</t>
  </si>
  <si>
    <t>WO-1052</t>
  </si>
  <si>
    <t>2025-01-11</t>
  </si>
  <si>
    <t>2025-01-11 21:44</t>
  </si>
  <si>
    <t>WO-1053</t>
  </si>
  <si>
    <t>2025-02-24</t>
  </si>
  <si>
    <t>2025-02-24 21:44</t>
  </si>
  <si>
    <t>2025-02-25 11:12</t>
  </si>
  <si>
    <t>Corrective maintenance on Centrifugal Pump A-102</t>
  </si>
  <si>
    <t>WO-1054</t>
  </si>
  <si>
    <t>2025-10-28</t>
  </si>
  <si>
    <t>2025-10-28 21:44</t>
  </si>
  <si>
    <t>2025-10-29 09:22</t>
  </si>
  <si>
    <t>WO-1055</t>
  </si>
  <si>
    <t>2025-10-12</t>
  </si>
  <si>
    <t>2025-10-12 21:44</t>
  </si>
  <si>
    <t>Inspection maintenance on Centrifugal Pump A-102</t>
  </si>
  <si>
    <t>WO-1056</t>
  </si>
  <si>
    <t>2025-12-11 08:03</t>
  </si>
  <si>
    <t>WO-1057</t>
  </si>
  <si>
    <t>2025-01-12</t>
  </si>
  <si>
    <t>2025-01-12 21:44</t>
  </si>
  <si>
    <t>2025-01-13 19:38</t>
  </si>
  <si>
    <t>WO-1058</t>
  </si>
  <si>
    <t>2025-07-31</t>
  </si>
  <si>
    <t>2025-07-31 21:44</t>
  </si>
  <si>
    <t>2025-08-02 20:10</t>
  </si>
  <si>
    <t>WO-1059</t>
  </si>
  <si>
    <t>2025-08-26</t>
  </si>
  <si>
    <t>2025-08-26 21:44</t>
  </si>
  <si>
    <t>2025-08-27 11:02</t>
  </si>
  <si>
    <t>Normal Wear</t>
  </si>
  <si>
    <t>WO-1060</t>
  </si>
  <si>
    <t>2025-08-10 02:11</t>
  </si>
  <si>
    <t>WO-1061</t>
  </si>
  <si>
    <t>2025-04-09</t>
  </si>
  <si>
    <t>2025-04-09 21:44</t>
  </si>
  <si>
    <t>2025-04-10 03:17</t>
  </si>
  <si>
    <t>WO-1062</t>
  </si>
  <si>
    <t>2025-02-03</t>
  </si>
  <si>
    <t>2025-02-03 21:44</t>
  </si>
  <si>
    <t>2025-02-03 23:28</t>
  </si>
  <si>
    <t>Inspection maintenance on Storage Tank A-103</t>
  </si>
  <si>
    <t>WO-1063</t>
  </si>
  <si>
    <t>2024-12-30</t>
  </si>
  <si>
    <t>2024-12-30 21:44</t>
  </si>
  <si>
    <t>2024-12-31 00:40</t>
  </si>
  <si>
    <t>Preventive maintenance on Storage Tank A-103</t>
  </si>
  <si>
    <t>WO-1064</t>
  </si>
  <si>
    <t>2025-07-27</t>
  </si>
  <si>
    <t>2025-07-27 21:44</t>
  </si>
  <si>
    <t>2025-07-28 21:40</t>
  </si>
  <si>
    <t>Corrective maintenance on Storage Tank A-103</t>
  </si>
  <si>
    <t>WO-1065</t>
  </si>
  <si>
    <t>2025-03-30</t>
  </si>
  <si>
    <t>2025-03-30 21:44</t>
  </si>
  <si>
    <t>2025-03-31 02:54</t>
  </si>
  <si>
    <t>WO-1066</t>
  </si>
  <si>
    <t>2025-10-19</t>
  </si>
  <si>
    <t>2025-10-19 21:44</t>
  </si>
  <si>
    <t>2025-10-20 09:30</t>
  </si>
  <si>
    <t>WO-1067</t>
  </si>
  <si>
    <t>2025-05-25</t>
  </si>
  <si>
    <t>2025-05-25 21:44</t>
  </si>
  <si>
    <t>2025-05-25 23:53</t>
  </si>
  <si>
    <t>WO-1068</t>
  </si>
  <si>
    <t>2025-02-12</t>
  </si>
  <si>
    <t>2025-02-12 21:44</t>
  </si>
  <si>
    <t>2025-02-13 19:11</t>
  </si>
  <si>
    <t>WO-1069</t>
  </si>
  <si>
    <t>2025-08-23</t>
  </si>
  <si>
    <t>2025-08-23 21:44</t>
  </si>
  <si>
    <t>2025-08-24 00:53</t>
  </si>
  <si>
    <t>WO-1070</t>
  </si>
  <si>
    <t>2025-10-06</t>
  </si>
  <si>
    <t>2025-10-06 21:44</t>
  </si>
  <si>
    <t>2025-10-07 09:14</t>
  </si>
  <si>
    <t>WO-1071</t>
  </si>
  <si>
    <t>2025-08-11 18:05</t>
  </si>
  <si>
    <t>Breakdown maintenance on Storage Tank A-103</t>
  </si>
  <si>
    <t>WO-1072</t>
  </si>
  <si>
    <t>2025-02-10</t>
  </si>
  <si>
    <t>2025-02-10 21:44</t>
  </si>
  <si>
    <t>2025-02-11 20:41</t>
  </si>
  <si>
    <t>WO-1073</t>
  </si>
  <si>
    <t>2024-12-23</t>
  </si>
  <si>
    <t>2024-12-23 21:44</t>
  </si>
  <si>
    <t>2024-12-24 09:54</t>
  </si>
  <si>
    <t>WO-1074</t>
  </si>
  <si>
    <t>2025-01-27</t>
  </si>
  <si>
    <t>2025-01-27 21:44</t>
  </si>
  <si>
    <t>WO-1075</t>
  </si>
  <si>
    <t>2025-09-26</t>
  </si>
  <si>
    <t>2025-09-26 21:44</t>
  </si>
  <si>
    <t>2025-09-27 01:59</t>
  </si>
  <si>
    <t>WO-1076</t>
  </si>
  <si>
    <t>2025-05-18</t>
  </si>
  <si>
    <t>2025-05-18 21:44</t>
  </si>
  <si>
    <t>2025-05-19 10:31</t>
  </si>
  <si>
    <t>WO-1077</t>
  </si>
  <si>
    <t>2025-10-24</t>
  </si>
  <si>
    <t>2025-10-24 21:44</t>
  </si>
  <si>
    <t>2025-10-25 00:08</t>
  </si>
  <si>
    <t>WO-1078</t>
  </si>
  <si>
    <t>Overhaul</t>
  </si>
  <si>
    <t>2025-12-01</t>
  </si>
  <si>
    <t>2025-12-01 21:44</t>
  </si>
  <si>
    <t>2025-12-06 04:36</t>
  </si>
  <si>
    <t>Overhaul maintenance on Storage Tank A-103</t>
  </si>
  <si>
    <t>WO-1079</t>
  </si>
  <si>
    <t>2025-03-24</t>
  </si>
  <si>
    <t>2025-03-24 21:44</t>
  </si>
  <si>
    <t>2025-03-25 01:44</t>
  </si>
  <si>
    <t>WO-1080</t>
  </si>
  <si>
    <t>2025-11-30</t>
  </si>
  <si>
    <t>2025-11-30 21:44</t>
  </si>
  <si>
    <t>2025-12-01 00:47</t>
  </si>
  <si>
    <t>WO-1081</t>
  </si>
  <si>
    <t>2025-01-09</t>
  </si>
  <si>
    <t>2025-01-09 21:44</t>
  </si>
  <si>
    <t>2025-01-10 23:56</t>
  </si>
  <si>
    <t>WO-1082</t>
  </si>
  <si>
    <t>2025-08-15</t>
  </si>
  <si>
    <t>2025-08-15 21:44</t>
  </si>
  <si>
    <t>2025-08-16 10:00</t>
  </si>
  <si>
    <t>WO-1083</t>
  </si>
  <si>
    <t>2025-09-30 01:03</t>
  </si>
  <si>
    <t>WO-1084</t>
  </si>
  <si>
    <t>2025-09-30</t>
  </si>
  <si>
    <t>2025-09-30 21:44</t>
  </si>
  <si>
    <t>2025-10-01 06:17</t>
  </si>
  <si>
    <t>WO-1085</t>
  </si>
  <si>
    <t>2025-05-20</t>
  </si>
  <si>
    <t>2025-05-20 21:44</t>
  </si>
  <si>
    <t>2025-05-22 02:06</t>
  </si>
  <si>
    <t>Breakdown maintenance on Control Valve A-104</t>
  </si>
  <si>
    <t>WO-1086</t>
  </si>
  <si>
    <t>Preventive maintenance on Control Valve A-104</t>
  </si>
  <si>
    <t>WO-1087</t>
  </si>
  <si>
    <t>2025-06-14</t>
  </si>
  <si>
    <t>2025-06-14 21:44</t>
  </si>
  <si>
    <t>2025-06-16 19:06</t>
  </si>
  <si>
    <t>WO-1088</t>
  </si>
  <si>
    <t>2025-08-07</t>
  </si>
  <si>
    <t>2025-08-07 21:44</t>
  </si>
  <si>
    <t>2025-08-08 00:21</t>
  </si>
  <si>
    <t>Inspection maintenance on Control Valve A-104</t>
  </si>
  <si>
    <t>WO-1089</t>
  </si>
  <si>
    <t>2025-12-14</t>
  </si>
  <si>
    <t>2025-12-14 21:44</t>
  </si>
  <si>
    <t>2025-12-14 23:27</t>
  </si>
  <si>
    <t>WO-1090</t>
  </si>
  <si>
    <t>2025-07-07</t>
  </si>
  <si>
    <t>2025-07-07 21:44</t>
  </si>
  <si>
    <t>2025-07-09 21:16</t>
  </si>
  <si>
    <t>WO-1091</t>
  </si>
  <si>
    <t>2025-06-09</t>
  </si>
  <si>
    <t>2025-06-09 21:44</t>
  </si>
  <si>
    <t>Corrective maintenance on Control Valve A-104</t>
  </si>
  <si>
    <t>WO-1092</t>
  </si>
  <si>
    <t>2025-03-05</t>
  </si>
  <si>
    <t>2025-03-05 21:44</t>
  </si>
  <si>
    <t>2025-03-06 03:50</t>
  </si>
  <si>
    <t>WO-1093</t>
  </si>
  <si>
    <t>2025-12-02</t>
  </si>
  <si>
    <t>2025-12-02 21:44</t>
  </si>
  <si>
    <t>2025-12-03 18:55</t>
  </si>
  <si>
    <t>Corrective maintenance on Electric Motor A-105</t>
  </si>
  <si>
    <t>WO-1094</t>
  </si>
  <si>
    <t>2025-11-10</t>
  </si>
  <si>
    <t>2025-11-10 21:44</t>
  </si>
  <si>
    <t>2025-11-11 15:25</t>
  </si>
  <si>
    <t>WO-1095</t>
  </si>
  <si>
    <t>2025-12-12</t>
  </si>
  <si>
    <t>2025-12-12 21:44</t>
  </si>
  <si>
    <t>2025-12-13 02:44</t>
  </si>
  <si>
    <t>Preventive maintenance on Electric Motor A-105</t>
  </si>
  <si>
    <t>WO-1096</t>
  </si>
  <si>
    <t>2025-09-20 03:51</t>
  </si>
  <si>
    <t>WO-1097</t>
  </si>
  <si>
    <t>2025-09-02</t>
  </si>
  <si>
    <t>2025-09-02 21:44</t>
  </si>
  <si>
    <t>2025-09-03 20:00</t>
  </si>
  <si>
    <t>WO-1098</t>
  </si>
  <si>
    <t>2025-08-17</t>
  </si>
  <si>
    <t>2025-08-17 21:44</t>
  </si>
  <si>
    <t>2025-08-18 01:26</t>
  </si>
  <si>
    <t>Inspection maintenance on Electric Motor A-105</t>
  </si>
  <si>
    <t>WO-1099</t>
  </si>
  <si>
    <t>2025-12-11 06:44</t>
  </si>
  <si>
    <t>WO-1100</t>
  </si>
  <si>
    <t>2025-06-23</t>
  </si>
  <si>
    <t>2025-06-23 21:44</t>
  </si>
  <si>
    <t>WO-1101</t>
  </si>
  <si>
    <t>2025-10-07</t>
  </si>
  <si>
    <t>2025-10-07 21:44</t>
  </si>
  <si>
    <t>2025-10-08 08:23</t>
  </si>
  <si>
    <t>WO-1102</t>
  </si>
  <si>
    <t>2025-10-30 13:49</t>
  </si>
  <si>
    <t>Breakdown maintenance on Electric Motor A-105</t>
  </si>
  <si>
    <t>WO-1103</t>
  </si>
  <si>
    <t>2025-11-17</t>
  </si>
  <si>
    <t>2025-11-17 21:44</t>
  </si>
  <si>
    <t>2025-11-18 02:32</t>
  </si>
  <si>
    <t>Lubrication Issue</t>
  </si>
  <si>
    <t>WO-1104</t>
  </si>
  <si>
    <t>2025-07-22</t>
  </si>
  <si>
    <t>2025-07-22 21:44</t>
  </si>
  <si>
    <t>2025-07-23 01:30</t>
  </si>
  <si>
    <t>WO-1105</t>
  </si>
  <si>
    <t>2025-08-25</t>
  </si>
  <si>
    <t>2025-08-25 21:44</t>
  </si>
  <si>
    <t>2025-08-27 20:26</t>
  </si>
  <si>
    <t>WO-1106</t>
  </si>
  <si>
    <t>2025-04-17 08:20</t>
  </si>
  <si>
    <t>WO-1107</t>
  </si>
  <si>
    <t>2025-07-12</t>
  </si>
  <si>
    <t>2025-07-12 21:44</t>
  </si>
  <si>
    <t>2025-07-12 23:53</t>
  </si>
  <si>
    <t>WO-1108</t>
  </si>
  <si>
    <t>2025-02-15</t>
  </si>
  <si>
    <t>2025-02-15 21:44</t>
  </si>
  <si>
    <t>2025-02-17 08:44</t>
  </si>
  <si>
    <t>WO-1109</t>
  </si>
  <si>
    <t>2025-08-16</t>
  </si>
  <si>
    <t>2025-08-16 21:44</t>
  </si>
  <si>
    <t>2025-08-17 08:50</t>
  </si>
  <si>
    <t>Preventive maintenance on Turbine A-106</t>
  </si>
  <si>
    <t>WO-1110</t>
  </si>
  <si>
    <t>2025-02-19</t>
  </si>
  <si>
    <t>2025-02-19 21:44</t>
  </si>
  <si>
    <t>Overhaul maintenance on Turbine A-106</t>
  </si>
  <si>
    <t>WO-1111</t>
  </si>
  <si>
    <t>2025-12-13</t>
  </si>
  <si>
    <t>2025-12-13 21:44</t>
  </si>
  <si>
    <t>2025-12-14 09:12</t>
  </si>
  <si>
    <t>WO-1112</t>
  </si>
  <si>
    <t>2025-07-18</t>
  </si>
  <si>
    <t>2025-07-18 21:44</t>
  </si>
  <si>
    <t>2025-07-20 19:18</t>
  </si>
  <si>
    <t>Breakdown maintenance on Turbine A-106</t>
  </si>
  <si>
    <t>WO-1113</t>
  </si>
  <si>
    <t>2025-02-11 01:41</t>
  </si>
  <si>
    <t>Inspection maintenance on Turbine A-106</t>
  </si>
  <si>
    <t>WO-1114</t>
  </si>
  <si>
    <t>2025-02-23 09:14</t>
  </si>
  <si>
    <t>WO-1115</t>
  </si>
  <si>
    <t>2025-06-11 02:10</t>
  </si>
  <si>
    <t>WO-1116</t>
  </si>
  <si>
    <t>2025-06-08</t>
  </si>
  <si>
    <t>2025-06-08 21:44</t>
  </si>
  <si>
    <t>2025-06-09 17:13</t>
  </si>
  <si>
    <t>Corrective maintenance on Turbine A-106</t>
  </si>
  <si>
    <t>WO-1117</t>
  </si>
  <si>
    <t>2025-02-16</t>
  </si>
  <si>
    <t>2025-02-16 21:44</t>
  </si>
  <si>
    <t>2025-02-17 14:57</t>
  </si>
  <si>
    <t>WO-1118</t>
  </si>
  <si>
    <t>2025-05-06</t>
  </si>
  <si>
    <t>2025-05-06 21:44</t>
  </si>
  <si>
    <t>2025-05-07 00:16</t>
  </si>
  <si>
    <t>WO-1119</t>
  </si>
  <si>
    <t>2025-08-10</t>
  </si>
  <si>
    <t>2025-08-10 21:44</t>
  </si>
  <si>
    <t>WO-1120</t>
  </si>
  <si>
    <t>2025-01-06</t>
  </si>
  <si>
    <t>2025-01-06 21:44</t>
  </si>
  <si>
    <t>2025-01-07 00:21</t>
  </si>
  <si>
    <t>WO-1121</t>
  </si>
  <si>
    <t>2025-02-01</t>
  </si>
  <si>
    <t>2025-02-01 21:44</t>
  </si>
  <si>
    <t>2025-02-02 02:57</t>
  </si>
  <si>
    <t>WO-1122</t>
  </si>
  <si>
    <t>2025-10-23</t>
  </si>
  <si>
    <t>2025-10-23 21:44</t>
  </si>
  <si>
    <t>2025-10-24 05:03</t>
  </si>
  <si>
    <t>WO-1123</t>
  </si>
  <si>
    <t>2025-04-18 03:53</t>
  </si>
  <si>
    <t>WO-1124</t>
  </si>
  <si>
    <t>2025-03-11 15:28</t>
  </si>
  <si>
    <t>WO-1125</t>
  </si>
  <si>
    <t>2025-01-21</t>
  </si>
  <si>
    <t>2025-01-21 21:44</t>
  </si>
  <si>
    <t>2025-01-23 05:12</t>
  </si>
  <si>
    <t>WO-1126</t>
  </si>
  <si>
    <t>2025-01-18 01:39</t>
  </si>
  <si>
    <t>WO-1127</t>
  </si>
  <si>
    <t>2025-02-16 03:14</t>
  </si>
  <si>
    <t>WO-1128</t>
  </si>
  <si>
    <t>2025-11-01</t>
  </si>
  <si>
    <t>2025-11-01 21:44</t>
  </si>
  <si>
    <t>2025-11-03 08:44</t>
  </si>
  <si>
    <t>WO-1129</t>
  </si>
  <si>
    <t>2025-12-16</t>
  </si>
  <si>
    <t>2025-12-16 21:44</t>
  </si>
  <si>
    <t>WO-1130</t>
  </si>
  <si>
    <t>2025-10-08 00:43</t>
  </si>
  <si>
    <t>WO-1131</t>
  </si>
  <si>
    <t>2025-08-11</t>
  </si>
  <si>
    <t>2025-08-11 21:44</t>
  </si>
  <si>
    <t>2025-08-12 03:09</t>
  </si>
  <si>
    <t>WO-1132</t>
  </si>
  <si>
    <t>2025-03-11</t>
  </si>
  <si>
    <t>2025-03-11 21:44</t>
  </si>
  <si>
    <t>2025-03-11 23:13</t>
  </si>
  <si>
    <t>WO-1133</t>
  </si>
  <si>
    <t>2025-05-11 06:03</t>
  </si>
  <si>
    <t>WO-1134</t>
  </si>
  <si>
    <t>2025-04-13</t>
  </si>
  <si>
    <t>2025-04-13 21:44</t>
  </si>
  <si>
    <t>2025-04-14 09:39</t>
  </si>
  <si>
    <t>Mechanical Seal Failure</t>
  </si>
  <si>
    <t>Corrective maintenance on Centrifugal Pump A-107</t>
  </si>
  <si>
    <t>WO-1135</t>
  </si>
  <si>
    <t>2025-06-07</t>
  </si>
  <si>
    <t>2025-06-07 21:44</t>
  </si>
  <si>
    <t>2025-06-08 10:32</t>
  </si>
  <si>
    <t>Breakdown maintenance on Centrifugal Pump A-107</t>
  </si>
  <si>
    <t>WO-1136</t>
  </si>
  <si>
    <t>2025-06-21</t>
  </si>
  <si>
    <t>2025-06-21 21:44</t>
  </si>
  <si>
    <t>WO-1137</t>
  </si>
  <si>
    <t>2025-01-30</t>
  </si>
  <si>
    <t>2025-01-30 21:44</t>
  </si>
  <si>
    <t>2025-01-31 08:21</t>
  </si>
  <si>
    <t>Preventive maintenance on Centrifugal Pump A-107</t>
  </si>
  <si>
    <t>WO-1138</t>
  </si>
  <si>
    <t>2025-06-06</t>
  </si>
  <si>
    <t>2025-06-06 21:44</t>
  </si>
  <si>
    <t>WO-1139</t>
  </si>
  <si>
    <t>2025-02-15 02:10</t>
  </si>
  <si>
    <t>WO-1140</t>
  </si>
  <si>
    <t>2025-03-18</t>
  </si>
  <si>
    <t>2025-03-18 21:44</t>
  </si>
  <si>
    <t>2025-03-19 00:30</t>
  </si>
  <si>
    <t>WO-1141</t>
  </si>
  <si>
    <t>2025-03-07</t>
  </si>
  <si>
    <t>2025-03-07 21:44</t>
  </si>
  <si>
    <t>2025-03-08 15:11</t>
  </si>
  <si>
    <t>WO-1142</t>
  </si>
  <si>
    <t>2025-11-08</t>
  </si>
  <si>
    <t>2025-11-08 21:44</t>
  </si>
  <si>
    <t>2025-11-09 04:41</t>
  </si>
  <si>
    <t>WO-1143</t>
  </si>
  <si>
    <t>2025-11-08 23:41</t>
  </si>
  <si>
    <t>Inspection maintenance on Centrifugal Pump A-107</t>
  </si>
  <si>
    <t>WO-1144</t>
  </si>
  <si>
    <t>2025-08-16 10:47</t>
  </si>
  <si>
    <t>Corrective maintenance on Control Valve A-108</t>
  </si>
  <si>
    <t>WO-1145</t>
  </si>
  <si>
    <t>2025-07-06</t>
  </si>
  <si>
    <t>2025-07-06 21:44</t>
  </si>
  <si>
    <t>2025-07-07 10:59</t>
  </si>
  <si>
    <t>WO-1146</t>
  </si>
  <si>
    <t>2025-08-22</t>
  </si>
  <si>
    <t>2025-08-22 21:44</t>
  </si>
  <si>
    <t>Preventive maintenance on Control Valve A-108</t>
  </si>
  <si>
    <t>WO-1147</t>
  </si>
  <si>
    <t>2025-02-06 22:10</t>
  </si>
  <si>
    <t>Overhaul maintenance on Control Valve A-108</t>
  </si>
  <si>
    <t>WO-1148</t>
  </si>
  <si>
    <t>2025-05-15</t>
  </si>
  <si>
    <t>2025-05-15 21:44</t>
  </si>
  <si>
    <t>2025-05-16 03:37</t>
  </si>
  <si>
    <t>WO-1149</t>
  </si>
  <si>
    <t>2025-10-03</t>
  </si>
  <si>
    <t>2025-10-03 21:44</t>
  </si>
  <si>
    <t>2025-10-04 06:31</t>
  </si>
  <si>
    <t>Preventive maintenance on Gas Compressor A-109</t>
  </si>
  <si>
    <t>WO-1150</t>
  </si>
  <si>
    <t>WO-1151</t>
  </si>
  <si>
    <t>2025-12-20 09:07</t>
  </si>
  <si>
    <t>WO-1152</t>
  </si>
  <si>
    <t>2025-09-09 08:58</t>
  </si>
  <si>
    <t>Corrective maintenance on Gas Compressor A-109</t>
  </si>
  <si>
    <t>WO-1153</t>
  </si>
  <si>
    <t>2025-03-02</t>
  </si>
  <si>
    <t>2025-03-02 21:44</t>
  </si>
  <si>
    <t>2025-03-03 01:17</t>
  </si>
  <si>
    <t>WO-1154</t>
  </si>
  <si>
    <t>2025-02-28 13:41</t>
  </si>
  <si>
    <t>WO-1155</t>
  </si>
  <si>
    <t>2025-07-21 20:19</t>
  </si>
  <si>
    <t>Breakdown maintenance on Gas Compressor A-109</t>
  </si>
  <si>
    <t>WO-1156</t>
  </si>
  <si>
    <t>2025-04-23</t>
  </si>
  <si>
    <t>2025-04-23 21:44</t>
  </si>
  <si>
    <t>2025-04-24 02:50</t>
  </si>
  <si>
    <t>WO-1157</t>
  </si>
  <si>
    <t>2025-05-16 07:31</t>
  </si>
  <si>
    <t>WO-1158</t>
  </si>
  <si>
    <t>Inspection maintenance on Gas Compressor A-109</t>
  </si>
  <si>
    <t>WO-1159</t>
  </si>
  <si>
    <t>2025-02-23</t>
  </si>
  <si>
    <t>2025-02-23 21:44</t>
  </si>
  <si>
    <t>2025-02-24 17:08</t>
  </si>
  <si>
    <t>WO-1160</t>
  </si>
  <si>
    <t>2025-04-14</t>
  </si>
  <si>
    <t>2025-04-14 21:44</t>
  </si>
  <si>
    <t>WO-1161</t>
  </si>
  <si>
    <t>2025-09-05</t>
  </si>
  <si>
    <t>2025-09-05 21:44</t>
  </si>
  <si>
    <t>2025-09-06 03:29</t>
  </si>
  <si>
    <t>WO-1162</t>
  </si>
  <si>
    <t>2025-06-11</t>
  </si>
  <si>
    <t>2025-06-11 21:44</t>
  </si>
  <si>
    <t>2025-06-13 13:24</t>
  </si>
  <si>
    <t>WO-1163</t>
  </si>
  <si>
    <t>2025-08-08</t>
  </si>
  <si>
    <t>2025-08-08 21:44</t>
  </si>
  <si>
    <t>WO-1164</t>
  </si>
  <si>
    <t>2025-10-29</t>
  </si>
  <si>
    <t>2025-10-29 21:44</t>
  </si>
  <si>
    <t>2025-10-31 02:51</t>
  </si>
  <si>
    <t>WO-1165</t>
  </si>
  <si>
    <t>2025-09-03</t>
  </si>
  <si>
    <t>2025-09-03 21:44</t>
  </si>
  <si>
    <t>2025-09-04 05:42</t>
  </si>
  <si>
    <t>Preventive maintenance on Reactor B-110</t>
  </si>
  <si>
    <t>WO-1166</t>
  </si>
  <si>
    <t>2025-06-20</t>
  </si>
  <si>
    <t>2025-06-20 21:44</t>
  </si>
  <si>
    <t>2025-06-21 02:09</t>
  </si>
  <si>
    <t>WO-1167</t>
  </si>
  <si>
    <t>Overhaul maintenance on Reactor B-110</t>
  </si>
  <si>
    <t>WO-1168</t>
  </si>
  <si>
    <t>2025-01-13</t>
  </si>
  <si>
    <t>2025-01-13 21:44</t>
  </si>
  <si>
    <t>Inspection maintenance on Reactor B-110</t>
  </si>
  <si>
    <t>WO-1169</t>
  </si>
  <si>
    <t>2025-01-26 03:11</t>
  </si>
  <si>
    <t>WO-1170</t>
  </si>
  <si>
    <t>2025-06-21 05:12</t>
  </si>
  <si>
    <t>WO-1171</t>
  </si>
  <si>
    <t>2025-01-23</t>
  </si>
  <si>
    <t>2025-01-23 21:44</t>
  </si>
  <si>
    <t>Corrective maintenance on Reactor B-110</t>
  </si>
  <si>
    <t>WO-1172</t>
  </si>
  <si>
    <t>2025-04-03</t>
  </si>
  <si>
    <t>2025-04-03 21:44</t>
  </si>
  <si>
    <t>2025-04-04 08:36</t>
  </si>
  <si>
    <t>WO-1173</t>
  </si>
  <si>
    <t>2025-11-18</t>
  </si>
  <si>
    <t>2025-11-18 21:44</t>
  </si>
  <si>
    <t>2025-11-19 01:39</t>
  </si>
  <si>
    <t>WO-1174</t>
  </si>
  <si>
    <t>2025-07-14</t>
  </si>
  <si>
    <t>2025-07-14 21:44</t>
  </si>
  <si>
    <t>Breakdown maintenance on Reactor B-110</t>
  </si>
  <si>
    <t>WO-1175</t>
  </si>
  <si>
    <t>2025-09-03 03:25</t>
  </si>
  <si>
    <t>WO-1176</t>
  </si>
  <si>
    <t>2025-09-27</t>
  </si>
  <si>
    <t>2025-09-27 21:44</t>
  </si>
  <si>
    <t>2025-09-28 07:37</t>
  </si>
  <si>
    <t>WO-1177</t>
  </si>
  <si>
    <t>2025-08-06</t>
  </si>
  <si>
    <t>2025-08-06 21:44</t>
  </si>
  <si>
    <t>2025-08-07 03:15</t>
  </si>
  <si>
    <t>WO-1178</t>
  </si>
  <si>
    <t>2025-01-29</t>
  </si>
  <si>
    <t>2025-01-29 21:44</t>
  </si>
  <si>
    <t>2025-01-30 15:10</t>
  </si>
  <si>
    <t>WO-1179</t>
  </si>
  <si>
    <t>2025-10-30 06:31</t>
  </si>
  <si>
    <t>WO-1180</t>
  </si>
  <si>
    <t>2025-10-08</t>
  </si>
  <si>
    <t>2025-10-08 21:44</t>
  </si>
  <si>
    <t>2025-10-09 00:04</t>
  </si>
  <si>
    <t>WO-1181</t>
  </si>
  <si>
    <t>2025-06-27</t>
  </si>
  <si>
    <t>2025-06-27 21:44</t>
  </si>
  <si>
    <t>2025-06-28 09:42</t>
  </si>
  <si>
    <t>WO-1182</t>
  </si>
  <si>
    <t>2025-10-05</t>
  </si>
  <si>
    <t>2025-10-05 21:44</t>
  </si>
  <si>
    <t>2025-10-06 00:55</t>
  </si>
  <si>
    <t>Preventive maintenance on Diesel Generator B-111</t>
  </si>
  <si>
    <t>WO-1183</t>
  </si>
  <si>
    <t>2025-03-01</t>
  </si>
  <si>
    <t>2025-03-01 21:44</t>
  </si>
  <si>
    <t>2025-03-02 08:16</t>
  </si>
  <si>
    <t>WO-1184</t>
  </si>
  <si>
    <t>2025-01-24</t>
  </si>
  <si>
    <t>2025-01-24 21:44</t>
  </si>
  <si>
    <t>2025-01-25 12:44</t>
  </si>
  <si>
    <t>Corrective maintenance on Diesel Generator B-111</t>
  </si>
  <si>
    <t>WO-1185</t>
  </si>
  <si>
    <t>2025-04-15</t>
  </si>
  <si>
    <t>2025-04-15 21:44</t>
  </si>
  <si>
    <t>2025-04-16 10:35</t>
  </si>
  <si>
    <t>Breakdown maintenance on Diesel Generator B-111</t>
  </si>
  <si>
    <t>WO-1186</t>
  </si>
  <si>
    <t>WO-1187</t>
  </si>
  <si>
    <t>2025-08-24</t>
  </si>
  <si>
    <t>2025-08-24 21:44</t>
  </si>
  <si>
    <t>2025-08-28 00:12</t>
  </si>
  <si>
    <t>Overhaul maintenance on Diesel Generator B-111</t>
  </si>
  <si>
    <t>WO-1188</t>
  </si>
  <si>
    <t>2025-12-05</t>
  </si>
  <si>
    <t>2025-12-05 21:44</t>
  </si>
  <si>
    <t>2025-12-06 04:55</t>
  </si>
  <si>
    <t>WO-1189</t>
  </si>
  <si>
    <t>2025-02-24 12:06</t>
  </si>
  <si>
    <t>Corrective maintenance on Diesel Generator B-112</t>
  </si>
  <si>
    <t>WO-1190</t>
  </si>
  <si>
    <t>2025-04-01</t>
  </si>
  <si>
    <t>2025-04-01 21:44</t>
  </si>
  <si>
    <t>2025-04-03 07:08</t>
  </si>
  <si>
    <t>Breakdown maintenance on Diesel Generator B-112</t>
  </si>
  <si>
    <t>WO-1191</t>
  </si>
  <si>
    <t>2025-03-11 05:10</t>
  </si>
  <si>
    <t>WO-1192</t>
  </si>
  <si>
    <t>2025-02-02 07:33</t>
  </si>
  <si>
    <t>WO-1193</t>
  </si>
  <si>
    <t>2025-09-03 19:31</t>
  </si>
  <si>
    <t>WO-1194</t>
  </si>
  <si>
    <t>2025-01-28</t>
  </si>
  <si>
    <t>2025-01-28 21:44</t>
  </si>
  <si>
    <t>2025-01-29 06:37</t>
  </si>
  <si>
    <t>Preventive maintenance on Diesel Generator B-112</t>
  </si>
  <si>
    <t>WO-1195</t>
  </si>
  <si>
    <t>2025-06-03</t>
  </si>
  <si>
    <t>2025-06-03 21:44</t>
  </si>
  <si>
    <t>WO-1196</t>
  </si>
  <si>
    <t>2025-10-06 09:59</t>
  </si>
  <si>
    <t>WO-1197</t>
  </si>
  <si>
    <t>2025-07-07 08:23</t>
  </si>
  <si>
    <t>WO-1198</t>
  </si>
  <si>
    <t>2025-03-13</t>
  </si>
  <si>
    <t>2025-03-13 21:44</t>
  </si>
  <si>
    <t>2025-03-14 04:43</t>
  </si>
  <si>
    <t>WO-1199</t>
  </si>
  <si>
    <t>2025-04-11</t>
  </si>
  <si>
    <t>2025-04-11 21:44</t>
  </si>
  <si>
    <t>2025-04-12 13:24</t>
  </si>
  <si>
    <t>WO-1200</t>
  </si>
  <si>
    <t>2024-12-26</t>
  </si>
  <si>
    <t>2024-12-26 21:44</t>
  </si>
  <si>
    <t>2024-12-27 08:13</t>
  </si>
  <si>
    <t>WO-1201</t>
  </si>
  <si>
    <t>2025-01-18 05:26</t>
  </si>
  <si>
    <t>WO-1202</t>
  </si>
  <si>
    <t>2025-12-07 06:11</t>
  </si>
  <si>
    <t>WO-1203</t>
  </si>
  <si>
    <t>2025-10-26</t>
  </si>
  <si>
    <t>2025-10-26 21:44</t>
  </si>
  <si>
    <t>2025-10-28 02:06</t>
  </si>
  <si>
    <t>WO-1204</t>
  </si>
  <si>
    <t>2025-10-29 19:36</t>
  </si>
  <si>
    <t>WO-1205</t>
  </si>
  <si>
    <t>2025-09-09 05:04</t>
  </si>
  <si>
    <t>Preventive maintenance on Storage Tank B-113</t>
  </si>
  <si>
    <t>WO-1206</t>
  </si>
  <si>
    <t>Overhaul maintenance on Storage Tank B-113</t>
  </si>
  <si>
    <t>WO-1207</t>
  </si>
  <si>
    <t>2025-11-22</t>
  </si>
  <si>
    <t>2025-11-22 21:44</t>
  </si>
  <si>
    <t>2025-11-23 17:24</t>
  </si>
  <si>
    <t>Corrective maintenance on Storage Tank B-113</t>
  </si>
  <si>
    <t>WO-1208</t>
  </si>
  <si>
    <t>2025-11-04</t>
  </si>
  <si>
    <t>2025-11-04 21:44</t>
  </si>
  <si>
    <t>2025-11-05 17:14</t>
  </si>
  <si>
    <t>WO-1209</t>
  </si>
  <si>
    <t>2025-08-04</t>
  </si>
  <si>
    <t>2025-08-04 21:44</t>
  </si>
  <si>
    <t>2025-08-05 02:52</t>
  </si>
  <si>
    <t>WO-1210</t>
  </si>
  <si>
    <t>2025-01-22</t>
  </si>
  <si>
    <t>2025-01-22 21:44</t>
  </si>
  <si>
    <t>2025-01-23 00:51</t>
  </si>
  <si>
    <t>Inspection maintenance on Storage Tank B-113</t>
  </si>
  <si>
    <t>WO-1211</t>
  </si>
  <si>
    <t>2025-03-20</t>
  </si>
  <si>
    <t>2025-03-20 21:44</t>
  </si>
  <si>
    <t>2025-03-21 04:20</t>
  </si>
  <si>
    <t>WO-1212</t>
  </si>
  <si>
    <t>2025-04-27</t>
  </si>
  <si>
    <t>2025-04-27 21:44</t>
  </si>
  <si>
    <t>2025-04-28 07:19</t>
  </si>
  <si>
    <t>WO-1213</t>
  </si>
  <si>
    <t>2025-06-02</t>
  </si>
  <si>
    <t>2025-06-02 21:44</t>
  </si>
  <si>
    <t>2025-06-03 11:20</t>
  </si>
  <si>
    <t>WO-1214</t>
  </si>
  <si>
    <t>WO-1215</t>
  </si>
  <si>
    <t>Preventive maintenance on Diesel Generator B-114</t>
  </si>
  <si>
    <t>WO-1216</t>
  </si>
  <si>
    <t>2025-09-23</t>
  </si>
  <si>
    <t>2025-09-23 21:44</t>
  </si>
  <si>
    <t>2025-09-24 02:27</t>
  </si>
  <si>
    <t>WO-1217</t>
  </si>
  <si>
    <t>2025-11-29</t>
  </si>
  <si>
    <t>2025-11-29 21:44</t>
  </si>
  <si>
    <t>2025-11-30 08:47</t>
  </si>
  <si>
    <t>WO-1218</t>
  </si>
  <si>
    <t>2025-03-02 23:47</t>
  </si>
  <si>
    <t>WO-1219</t>
  </si>
  <si>
    <t>2025-04-04 07:18</t>
  </si>
  <si>
    <t>WO-1220</t>
  </si>
  <si>
    <t>2025-01-10</t>
  </si>
  <si>
    <t>2025-01-10 21:44</t>
  </si>
  <si>
    <t>2025-01-11 20:00</t>
  </si>
  <si>
    <t>Corrective maintenance on Diesel Generator B-114</t>
  </si>
  <si>
    <t>WO-1221</t>
  </si>
  <si>
    <t>2025-05-19</t>
  </si>
  <si>
    <t>2025-05-19 21:44</t>
  </si>
  <si>
    <t>2025-05-20 08:30</t>
  </si>
  <si>
    <t>Preventive maintenance on Boiler B-115</t>
  </si>
  <si>
    <t>WO-1222</t>
  </si>
  <si>
    <t>2025-11-15</t>
  </si>
  <si>
    <t>2025-11-15 21:44</t>
  </si>
  <si>
    <t>2025-11-16 05:10</t>
  </si>
  <si>
    <t>WO-1223</t>
  </si>
  <si>
    <t>2025-03-15</t>
  </si>
  <si>
    <t>2025-03-15 21:44</t>
  </si>
  <si>
    <t>2025-03-17 10:59</t>
  </si>
  <si>
    <t>Breakdown maintenance on Boiler B-115</t>
  </si>
  <si>
    <t>WO-1224</t>
  </si>
  <si>
    <t>2025-03-21</t>
  </si>
  <si>
    <t>2025-03-21 21:44</t>
  </si>
  <si>
    <t>2025-03-22 13:57</t>
  </si>
  <si>
    <t>Corrective maintenance on Boiler B-115</t>
  </si>
  <si>
    <t>WO-1225</t>
  </si>
  <si>
    <t>2025-03-03</t>
  </si>
  <si>
    <t>2025-03-03 21:44</t>
  </si>
  <si>
    <t>WO-1226</t>
  </si>
  <si>
    <t>2025-05-07</t>
  </si>
  <si>
    <t>2025-05-07 21:44</t>
  </si>
  <si>
    <t>2025-05-08 09:17</t>
  </si>
  <si>
    <t>WO-1227</t>
  </si>
  <si>
    <t>2025-02-20</t>
  </si>
  <si>
    <t>2025-02-20 21:44</t>
  </si>
  <si>
    <t>2025-02-21 04:23</t>
  </si>
  <si>
    <t>WO-1228</t>
  </si>
  <si>
    <t>2025-05-23 09:05</t>
  </si>
  <si>
    <t>WO-1229</t>
  </si>
  <si>
    <t>2025-09-30 08:52</t>
  </si>
  <si>
    <t>WO-1230</t>
  </si>
  <si>
    <t>2025-12-17</t>
  </si>
  <si>
    <t>2025-12-17 21:44</t>
  </si>
  <si>
    <t>WO-1231</t>
  </si>
  <si>
    <t>2025-03-17 08:18</t>
  </si>
  <si>
    <t>WO-1232</t>
  </si>
  <si>
    <t>2025-08-08 01:10</t>
  </si>
  <si>
    <t>Inspection maintenance on Boiler B-115</t>
  </si>
  <si>
    <t>WO-1233</t>
  </si>
  <si>
    <t>2025-05-01</t>
  </si>
  <si>
    <t>2025-05-01 21:44</t>
  </si>
  <si>
    <t>2025-05-03 14:24</t>
  </si>
  <si>
    <t>Breakdown maintenance on Turbine B-116</t>
  </si>
  <si>
    <t>WO-1234</t>
  </si>
  <si>
    <t>2025-01-27 21:28</t>
  </si>
  <si>
    <t>Corrective maintenance on Turbine B-116</t>
  </si>
  <si>
    <t>WO-1235</t>
  </si>
  <si>
    <t>Preventive maintenance on Turbine B-116</t>
  </si>
  <si>
    <t>WO-1236</t>
  </si>
  <si>
    <t>WO-1237</t>
  </si>
  <si>
    <t>2025-04-16 18:26</t>
  </si>
  <si>
    <t>WO-1238</t>
  </si>
  <si>
    <t>2025-04-28 10:57</t>
  </si>
  <si>
    <t>WO-1239</t>
  </si>
  <si>
    <t>WO-1240</t>
  </si>
  <si>
    <t>2025-10-22</t>
  </si>
  <si>
    <t>2025-10-22 21:44</t>
  </si>
  <si>
    <t>2025-10-23 00:04</t>
  </si>
  <si>
    <t>WO-1241</t>
  </si>
  <si>
    <t>WO-1242</t>
  </si>
  <si>
    <t>2025-10-13 02:56</t>
  </si>
  <si>
    <t>WO-1243</t>
  </si>
  <si>
    <t>2025-09-14</t>
  </si>
  <si>
    <t>2025-09-14 21:44</t>
  </si>
  <si>
    <t>2025-09-16 18:57</t>
  </si>
  <si>
    <t>Overhaul maintenance on Turbine B-116</t>
  </si>
  <si>
    <t>WO-1244</t>
  </si>
  <si>
    <t>2025-10-02</t>
  </si>
  <si>
    <t>2025-10-02 21:44</t>
  </si>
  <si>
    <t>WO-1245</t>
  </si>
  <si>
    <t>2025-12-14 22:23</t>
  </si>
  <si>
    <t>WO-1246</t>
  </si>
  <si>
    <t>2025-12-20 01:11</t>
  </si>
  <si>
    <t>WO-1247</t>
  </si>
  <si>
    <t>2025-04-05</t>
  </si>
  <si>
    <t>2025-04-05 21:44</t>
  </si>
  <si>
    <t>2025-04-06 03:02</t>
  </si>
  <si>
    <t>Preventive maintenance on Electric Motor B-117</t>
  </si>
  <si>
    <t>WO-1248</t>
  </si>
  <si>
    <t>2025-07-03</t>
  </si>
  <si>
    <t>2025-07-03 21:44</t>
  </si>
  <si>
    <t>2025-07-04 06:28</t>
  </si>
  <si>
    <t>WO-1249</t>
  </si>
  <si>
    <t>WO-1250</t>
  </si>
  <si>
    <t>2025-02-24 21:26</t>
  </si>
  <si>
    <t>Overhaul maintenance on Electric Motor B-117</t>
  </si>
  <si>
    <t>WO-1251</t>
  </si>
  <si>
    <t>2025-09-30 23:42</t>
  </si>
  <si>
    <t>Inspection maintenance on Electric Motor B-117</t>
  </si>
  <si>
    <t>WO-1252</t>
  </si>
  <si>
    <t>Corrective maintenance on Electric Motor B-117</t>
  </si>
  <si>
    <t>WO-1253</t>
  </si>
  <si>
    <t>2025-06-29</t>
  </si>
  <si>
    <t>2025-06-29 21:44</t>
  </si>
  <si>
    <t>2025-06-29 23:41</t>
  </si>
  <si>
    <t>WO-1254</t>
  </si>
  <si>
    <t>2025-04-02 03:02</t>
  </si>
  <si>
    <t>WO-1255</t>
  </si>
  <si>
    <t>2025-08-29</t>
  </si>
  <si>
    <t>2025-08-29 21:44</t>
  </si>
  <si>
    <t>2025-08-30 09:24</t>
  </si>
  <si>
    <t>WO-1256</t>
  </si>
  <si>
    <t>WO-1257</t>
  </si>
  <si>
    <t>2025-11-30 02:42</t>
  </si>
  <si>
    <t>WO-1258</t>
  </si>
  <si>
    <t>2025-09-07 04:18</t>
  </si>
  <si>
    <t>WO-1259</t>
  </si>
  <si>
    <t>2025-09-20</t>
  </si>
  <si>
    <t>2025-09-20 21:44</t>
  </si>
  <si>
    <t>2025-09-21 05:15</t>
  </si>
  <si>
    <t>WO-1260</t>
  </si>
  <si>
    <t>WO-1261</t>
  </si>
  <si>
    <t>2025-03-31 14:08</t>
  </si>
  <si>
    <t>WO-1262</t>
  </si>
  <si>
    <t>2025-04-25</t>
  </si>
  <si>
    <t>2025-04-25 21:44</t>
  </si>
  <si>
    <t>2025-04-26 09:38</t>
  </si>
  <si>
    <t>WO-1263</t>
  </si>
  <si>
    <t>2025-07-04 05:16</t>
  </si>
  <si>
    <t>Preventive maintenance on Diesel Generator B-118</t>
  </si>
  <si>
    <t>WO-1264</t>
  </si>
  <si>
    <t>Corrective maintenance on Diesel Generator B-118</t>
  </si>
  <si>
    <t>WO-1265</t>
  </si>
  <si>
    <t>2025-12-11</t>
  </si>
  <si>
    <t>2025-12-11 21:44</t>
  </si>
  <si>
    <t>2025-12-12 08:37</t>
  </si>
  <si>
    <t>WO-1266</t>
  </si>
  <si>
    <t>2025-06-01</t>
  </si>
  <si>
    <t>2025-06-01 21:44</t>
  </si>
  <si>
    <t>2025-06-01 23:54</t>
  </si>
  <si>
    <t>WO-1267</t>
  </si>
  <si>
    <t>2025-10-07 02:09</t>
  </si>
  <si>
    <t>WO-1268</t>
  </si>
  <si>
    <t>2025-09-04</t>
  </si>
  <si>
    <t>2025-09-04 21:44</t>
  </si>
  <si>
    <t>2025-09-06 11:33</t>
  </si>
  <si>
    <t>Breakdown maintenance on Diesel Generator B-118</t>
  </si>
  <si>
    <t>WO-1269</t>
  </si>
  <si>
    <t>2025-06-09 00:35</t>
  </si>
  <si>
    <t>Overhaul maintenance on Diesel Generator B-118</t>
  </si>
  <si>
    <t>WO-1270</t>
  </si>
  <si>
    <t>2025-12-06 05:36</t>
  </si>
  <si>
    <t>WO-1271</t>
  </si>
  <si>
    <t>2025-03-11 03:32</t>
  </si>
  <si>
    <t>WO-1272</t>
  </si>
  <si>
    <t>2025-05-28</t>
  </si>
  <si>
    <t>2025-05-28 21:44</t>
  </si>
  <si>
    <t>2025-05-29 04:11</t>
  </si>
  <si>
    <t>WO-1273</t>
  </si>
  <si>
    <t>2025-02-05</t>
  </si>
  <si>
    <t>2025-02-05 21:44</t>
  </si>
  <si>
    <t>2025-02-06 03:17</t>
  </si>
  <si>
    <t>WO-1274</t>
  </si>
  <si>
    <t>2025-02-04 06:59</t>
  </si>
  <si>
    <t>Preventive maintenance on Storage Tank B-119</t>
  </si>
  <si>
    <t>WO-1275</t>
  </si>
  <si>
    <t>2025-05-08</t>
  </si>
  <si>
    <t>2025-05-08 21:44</t>
  </si>
  <si>
    <t>2025-05-09 02:45</t>
  </si>
  <si>
    <t>WO-1276</t>
  </si>
  <si>
    <t>2025-04-29</t>
  </si>
  <si>
    <t>2025-04-29 21:44</t>
  </si>
  <si>
    <t>2025-05-01 19:30</t>
  </si>
  <si>
    <t>Breakdown maintenance on Storage Tank B-119</t>
  </si>
  <si>
    <t>WO-1277</t>
  </si>
  <si>
    <t>2025-07-13 03:04</t>
  </si>
  <si>
    <t>WO-1278</t>
  </si>
  <si>
    <t>2025-10-27 09:13</t>
  </si>
  <si>
    <t>WO-1279</t>
  </si>
  <si>
    <t>2025-08-30</t>
  </si>
  <si>
    <t>2025-08-30 21:44</t>
  </si>
  <si>
    <t>2025-09-01 20:27</t>
  </si>
  <si>
    <t>WO-1280</t>
  </si>
  <si>
    <t>WO-1281</t>
  </si>
  <si>
    <t>2025-08-20 16:16</t>
  </si>
  <si>
    <t>Overhaul maintenance on Storage Tank B-119</t>
  </si>
  <si>
    <t>WO-1282</t>
  </si>
  <si>
    <t>2025-11-11</t>
  </si>
  <si>
    <t>2025-11-11 21:44</t>
  </si>
  <si>
    <t>2025-11-12 07:48</t>
  </si>
  <si>
    <t>Corrective maintenance on Storage Tank B-119</t>
  </si>
  <si>
    <t>WO-1283</t>
  </si>
  <si>
    <t>2025-07-15</t>
  </si>
  <si>
    <t>2025-07-15 21:44</t>
  </si>
  <si>
    <t>Preventive maintenance on Pressure Vessel C-120</t>
  </si>
  <si>
    <t>WO-1284</t>
  </si>
  <si>
    <t>2025-12-17 19:39</t>
  </si>
  <si>
    <t>Corrective maintenance on Pressure Vessel C-120</t>
  </si>
  <si>
    <t>WO-1285</t>
  </si>
  <si>
    <t>2025-10-31</t>
  </si>
  <si>
    <t>2025-10-31 21:44</t>
  </si>
  <si>
    <t>WO-1286</t>
  </si>
  <si>
    <t>2025-06-14 18:27</t>
  </si>
  <si>
    <t>Overhaul maintenance on Pressure Vessel C-120</t>
  </si>
  <si>
    <t>WO-1287</t>
  </si>
  <si>
    <t>2025-07-10</t>
  </si>
  <si>
    <t>2025-07-10 21:44</t>
  </si>
  <si>
    <t>2025-07-11 04:22</t>
  </si>
  <si>
    <t>WO-1288</t>
  </si>
  <si>
    <t>2025-07-23 08:57</t>
  </si>
  <si>
    <t>WO-1289</t>
  </si>
  <si>
    <t>2025-04-06</t>
  </si>
  <si>
    <t>2025-04-06 21:44</t>
  </si>
  <si>
    <t>2025-04-07 04:57</t>
  </si>
  <si>
    <t>WO-1290</t>
  </si>
  <si>
    <t>2025-12-20</t>
  </si>
  <si>
    <t>2025-12-20 21:44</t>
  </si>
  <si>
    <t>2025-12-21 00:53</t>
  </si>
  <si>
    <t>Preventive maintenance on Boiler C-121</t>
  </si>
  <si>
    <t>WO-1291</t>
  </si>
  <si>
    <t>2025-03-14 08:21</t>
  </si>
  <si>
    <t>Corrective maintenance on Boiler C-121</t>
  </si>
  <si>
    <t>WO-1292</t>
  </si>
  <si>
    <t>2025-07-13 02:19</t>
  </si>
  <si>
    <t>WO-1293</t>
  </si>
  <si>
    <t>2025-12-18 07:49</t>
  </si>
  <si>
    <t>WO-1294</t>
  </si>
  <si>
    <t>2025-02-18</t>
  </si>
  <si>
    <t>2025-02-18 21:44</t>
  </si>
  <si>
    <t>WO-1295</t>
  </si>
  <si>
    <t>2025-07-11 13:29</t>
  </si>
  <si>
    <t>WO-1296</t>
  </si>
  <si>
    <t>2025-10-20</t>
  </si>
  <si>
    <t>2025-10-20 21:44</t>
  </si>
  <si>
    <t>2025-10-20 22:59</t>
  </si>
  <si>
    <t>Inspection maintenance on Boiler C-121</t>
  </si>
  <si>
    <t>WO-1297</t>
  </si>
  <si>
    <t>2025-10-24 04:30</t>
  </si>
  <si>
    <t>WO-1298</t>
  </si>
  <si>
    <t>2025-05-19 04:33</t>
  </si>
  <si>
    <t>WO-1299</t>
  </si>
  <si>
    <t>2025-03-31</t>
  </si>
  <si>
    <t>2025-03-31 21:44</t>
  </si>
  <si>
    <t>WO-1300</t>
  </si>
  <si>
    <t>2025-08-31 03:54</t>
  </si>
  <si>
    <t>WO-1301</t>
  </si>
  <si>
    <t>2025-05-11</t>
  </si>
  <si>
    <t>2025-05-11 21:44</t>
  </si>
  <si>
    <t>2025-05-12 01:59</t>
  </si>
  <si>
    <t>WO-1302</t>
  </si>
  <si>
    <t>2025-10-11</t>
  </si>
  <si>
    <t>2025-10-11 21:44</t>
  </si>
  <si>
    <t>2025-10-12 04:01</t>
  </si>
  <si>
    <t>WO-1303</t>
  </si>
  <si>
    <t>2025-09-28 14:29</t>
  </si>
  <si>
    <t>Breakdown maintenance on Boiler C-121</t>
  </si>
  <si>
    <t>WO-1304</t>
  </si>
  <si>
    <t>2025-06-18</t>
  </si>
  <si>
    <t>2025-06-18 21:44</t>
  </si>
  <si>
    <t>2025-06-19 08:22</t>
  </si>
  <si>
    <t>WO-1305</t>
  </si>
  <si>
    <t>2025-12-09</t>
  </si>
  <si>
    <t>2025-12-09 21:44</t>
  </si>
  <si>
    <t>2025-12-10 19:46</t>
  </si>
  <si>
    <t>WO-1306</t>
  </si>
  <si>
    <t>2025-10-09</t>
  </si>
  <si>
    <t>2025-10-09 21:44</t>
  </si>
  <si>
    <t>2025-10-10 19:46</t>
  </si>
  <si>
    <t>WO-1307</t>
  </si>
  <si>
    <t>2025-12-04</t>
  </si>
  <si>
    <t>2025-12-04 21:44</t>
  </si>
  <si>
    <t>2025-12-05 18:02</t>
  </si>
  <si>
    <t>WO-1308</t>
  </si>
  <si>
    <t>2025-02-25 00:50</t>
  </si>
  <si>
    <t>WO-1309</t>
  </si>
  <si>
    <t>2025-11-11 02:25</t>
  </si>
  <si>
    <t>Preventive maintenance on Boiler C-122</t>
  </si>
  <si>
    <t>WO-1310</t>
  </si>
  <si>
    <t>2025-05-13</t>
  </si>
  <si>
    <t>2025-05-13 21:44</t>
  </si>
  <si>
    <t>WO-1311</t>
  </si>
  <si>
    <t>2024-12-24 08:26</t>
  </si>
  <si>
    <t>WO-1312</t>
  </si>
  <si>
    <t>2025-09-21</t>
  </si>
  <si>
    <t>2025-09-21 21:44</t>
  </si>
  <si>
    <t>Inspection maintenance on Boiler C-122</t>
  </si>
  <si>
    <t>WO-1313</t>
  </si>
  <si>
    <t>2025-05-16</t>
  </si>
  <si>
    <t>2025-05-16 21:44</t>
  </si>
  <si>
    <t>2025-05-17 03:07</t>
  </si>
  <si>
    <t>WO-1314</t>
  </si>
  <si>
    <t>2025-11-07</t>
  </si>
  <si>
    <t>2025-11-07 21:44</t>
  </si>
  <si>
    <t>2025-11-08 07:35</t>
  </si>
  <si>
    <t>WO-1315</t>
  </si>
  <si>
    <t>2025-07-31 17:10</t>
  </si>
  <si>
    <t>Overhaul maintenance on Boiler C-122</t>
  </si>
  <si>
    <t>WO-1316</t>
  </si>
  <si>
    <t>2025-06-24</t>
  </si>
  <si>
    <t>2025-06-24 21:44</t>
  </si>
  <si>
    <t>2025-06-25 02:14</t>
  </si>
  <si>
    <t>WO-1317</t>
  </si>
  <si>
    <t>2025-07-31 07:57</t>
  </si>
  <si>
    <t>Breakdown maintenance on Boiler C-122</t>
  </si>
  <si>
    <t>WO-1318</t>
  </si>
  <si>
    <t>2024-12-27 15:39</t>
  </si>
  <si>
    <t>Corrective maintenance on Separator C-123</t>
  </si>
  <si>
    <t>WO-1319</t>
  </si>
  <si>
    <t>2025-02-06 07:03</t>
  </si>
  <si>
    <t>Preventive maintenance on Separator C-123</t>
  </si>
  <si>
    <t>WO-1320</t>
  </si>
  <si>
    <t>2025-03-06 03:06</t>
  </si>
  <si>
    <t>WO-1321</t>
  </si>
  <si>
    <t>2025-07-21 14:04</t>
  </si>
  <si>
    <t>WO-1322</t>
  </si>
  <si>
    <t>2025-06-19</t>
  </si>
  <si>
    <t>2025-06-19 21:44</t>
  </si>
  <si>
    <t>2025-06-20 21:00</t>
  </si>
  <si>
    <t>WO-1323</t>
  </si>
  <si>
    <t>2025-11-26 16:46</t>
  </si>
  <si>
    <t>Breakdown maintenance on Separator C-123</t>
  </si>
  <si>
    <t>WO-1324</t>
  </si>
  <si>
    <t>2025-09-01</t>
  </si>
  <si>
    <t>2025-09-01 21:44</t>
  </si>
  <si>
    <t>2025-09-02 21:10</t>
  </si>
  <si>
    <t>WO-1325</t>
  </si>
  <si>
    <t>Overhaul maintenance on Separator C-123</t>
  </si>
  <si>
    <t>WO-1326</t>
  </si>
  <si>
    <t>2025-08-20</t>
  </si>
  <si>
    <t>2025-08-20 21:44</t>
  </si>
  <si>
    <t>2025-08-21 20:50</t>
  </si>
  <si>
    <t>WO-1327</t>
  </si>
  <si>
    <t>2025-07-13</t>
  </si>
  <si>
    <t>2025-07-13 21:44</t>
  </si>
  <si>
    <t>2025-07-14 00:15</t>
  </si>
  <si>
    <t>Inspection maintenance on Separator C-123</t>
  </si>
  <si>
    <t>WO-1328</t>
  </si>
  <si>
    <t>2025-03-11 07:17</t>
  </si>
  <si>
    <t>Corrective maintenance on Diesel Generator C-124</t>
  </si>
  <si>
    <t>WO-1329</t>
  </si>
  <si>
    <t>2025-11-12 07:22</t>
  </si>
  <si>
    <t>Preventive maintenance on Diesel Generator C-124</t>
  </si>
  <si>
    <t>WO-1330</t>
  </si>
  <si>
    <t>2025-02-04</t>
  </si>
  <si>
    <t>2025-02-04 21:44</t>
  </si>
  <si>
    <t>2025-02-05 08:59</t>
  </si>
  <si>
    <t>WO-1331</t>
  </si>
  <si>
    <t>2025-12-20 01:07</t>
  </si>
  <si>
    <t>WO-1332</t>
  </si>
  <si>
    <t>WO-1333</t>
  </si>
  <si>
    <t>2025-06-13 14:01</t>
  </si>
  <si>
    <t>Breakdown maintenance on Diesel Generator C-124</t>
  </si>
  <si>
    <t>WO-1334</t>
  </si>
  <si>
    <t>2025-09-09</t>
  </si>
  <si>
    <t>2025-09-09 21:44</t>
  </si>
  <si>
    <t>2025-09-10 03:20</t>
  </si>
  <si>
    <t>WO-1335</t>
  </si>
  <si>
    <t>2025-12-03 00:54</t>
  </si>
  <si>
    <t>Inspection maintenance on Diesel Generator C-124</t>
  </si>
  <si>
    <t>WO-1336</t>
  </si>
  <si>
    <t>2025-07-07 08:56</t>
  </si>
  <si>
    <t>Preventive maintenance on Control Valve C-125</t>
  </si>
  <si>
    <t>WO-1337</t>
  </si>
  <si>
    <t>2025-04-29 03:54</t>
  </si>
  <si>
    <t>WO-1338</t>
  </si>
  <si>
    <t>2025-09-12</t>
  </si>
  <si>
    <t>2025-09-12 21:44</t>
  </si>
  <si>
    <t>WO-1339</t>
  </si>
  <si>
    <t>2025-05-30</t>
  </si>
  <si>
    <t>2025-05-30 21:44</t>
  </si>
  <si>
    <t>2025-05-30 23:43</t>
  </si>
  <si>
    <t>Inspection maintenance on Control Valve C-125</t>
  </si>
  <si>
    <t>WO-1340</t>
  </si>
  <si>
    <t>Breakdown maintenance on Control Valve C-125</t>
  </si>
  <si>
    <t>WO-1341</t>
  </si>
  <si>
    <t>2025-04-26</t>
  </si>
  <si>
    <t>2025-04-26 21:44</t>
  </si>
  <si>
    <t>WO-1342</t>
  </si>
  <si>
    <t>2024-12-27 20:45</t>
  </si>
  <si>
    <t>Corrective maintenance on Control Valve C-125</t>
  </si>
  <si>
    <t>WO-1343</t>
  </si>
  <si>
    <t>WO-1344</t>
  </si>
  <si>
    <t>WO-1345</t>
  </si>
  <si>
    <t>2025-02-04 05:33</t>
  </si>
  <si>
    <t>WO-1346</t>
  </si>
  <si>
    <t>Corrective maintenance on Gas Turbine C-126</t>
  </si>
  <si>
    <t>WO-1347</t>
  </si>
  <si>
    <t>2025-06-03 23:51</t>
  </si>
  <si>
    <t>Breakdown maintenance on Gas Turbine C-126</t>
  </si>
  <si>
    <t>WO-1348</t>
  </si>
  <si>
    <t>2025-03-17 04:14</t>
  </si>
  <si>
    <t>Preventive maintenance on Gas Turbine C-126</t>
  </si>
  <si>
    <t>WO-1349</t>
  </si>
  <si>
    <t>2025-05-07 08:16</t>
  </si>
  <si>
    <t>WO-1350</t>
  </si>
  <si>
    <t>2025-06-08 01:13</t>
  </si>
  <si>
    <t>WO-1351</t>
  </si>
  <si>
    <t>2025-03-22 00:03</t>
  </si>
  <si>
    <t>WO-1352</t>
  </si>
  <si>
    <t>2025-03-04 00:57</t>
  </si>
  <si>
    <t>WO-1353</t>
  </si>
  <si>
    <t>2025-11-10 09:07</t>
  </si>
  <si>
    <t>WO-1354</t>
  </si>
  <si>
    <t>2025-11-18 04:10</t>
  </si>
  <si>
    <t>WO-1355</t>
  </si>
  <si>
    <t>2025-01-16</t>
  </si>
  <si>
    <t>2025-01-16 21:44</t>
  </si>
  <si>
    <t>2025-01-16 23:14</t>
  </si>
  <si>
    <t>Inspection maintenance on Gas Turbine C-126</t>
  </si>
  <si>
    <t>WO-1356</t>
  </si>
  <si>
    <t>2025-04-10</t>
  </si>
  <si>
    <t>2025-04-10 21:44</t>
  </si>
  <si>
    <t>2025-04-11 08:49</t>
  </si>
  <si>
    <t>WO-1357</t>
  </si>
  <si>
    <t>2025-07-21 19:24</t>
  </si>
  <si>
    <t>WO-1358</t>
  </si>
  <si>
    <t>2024-12-31</t>
  </si>
  <si>
    <t>2024-12-31 21:44</t>
  </si>
  <si>
    <t>2025-01-01 21:32</t>
  </si>
  <si>
    <t>WO-1359</t>
  </si>
  <si>
    <t>2025-03-25 00:00</t>
  </si>
  <si>
    <t>WO-1360</t>
  </si>
  <si>
    <t>2025-04-20</t>
  </si>
  <si>
    <t>2025-04-20 21:44</t>
  </si>
  <si>
    <t>2025-04-21 21:13</t>
  </si>
  <si>
    <t>WO-1361</t>
  </si>
  <si>
    <t>2025-10-14 15:36</t>
  </si>
  <si>
    <t>WO-1362</t>
  </si>
  <si>
    <t>2025-12-15 08:55</t>
  </si>
  <si>
    <t>Corrective maintenance on Reactor C-127</t>
  </si>
  <si>
    <t>WO-1363</t>
  </si>
  <si>
    <t>2025-08-31</t>
  </si>
  <si>
    <t>2025-08-31 21:44</t>
  </si>
  <si>
    <t>2025-09-01 12:35</t>
  </si>
  <si>
    <t>WO-1364</t>
  </si>
  <si>
    <t>2025-06-10 20:06</t>
  </si>
  <si>
    <t>WO-1365</t>
  </si>
  <si>
    <t>Preventive maintenance on Reactor C-127</t>
  </si>
  <si>
    <t>WO-1366</t>
  </si>
  <si>
    <t>2025-07-01</t>
  </si>
  <si>
    <t>2025-07-01 21:44</t>
  </si>
  <si>
    <t>2025-07-05 17:22</t>
  </si>
  <si>
    <t>Overhaul maintenance on Reactor C-127</t>
  </si>
  <si>
    <t>WO-1367</t>
  </si>
  <si>
    <t>2025-11-14</t>
  </si>
  <si>
    <t>2025-11-14 21:44</t>
  </si>
  <si>
    <t>2025-11-16 20:10</t>
  </si>
  <si>
    <t>Breakdown maintenance on Reactor C-127</t>
  </si>
  <si>
    <t>WO-1368</t>
  </si>
  <si>
    <t>2025-10-20 07:53</t>
  </si>
  <si>
    <t>WO-1369</t>
  </si>
  <si>
    <t>2025-07-11 01:17</t>
  </si>
  <si>
    <t>Inspection maintenance on Heat Exchanger C-128</t>
  </si>
  <si>
    <t>WO-1370</t>
  </si>
  <si>
    <t>2025-09-03 04:33</t>
  </si>
  <si>
    <t>Corrective maintenance on Heat Exchanger C-128</t>
  </si>
  <si>
    <t>WO-1371</t>
  </si>
  <si>
    <t>2025-11-16 10:55</t>
  </si>
  <si>
    <t>Breakdown maintenance on Heat Exchanger C-128</t>
  </si>
  <si>
    <t>WO-1372</t>
  </si>
  <si>
    <t>2025-02-16 06:56</t>
  </si>
  <si>
    <t>Preventive maintenance on Heat Exchanger C-128</t>
  </si>
  <si>
    <t>WO-1373</t>
  </si>
  <si>
    <t>2025-07-04 03:15</t>
  </si>
  <si>
    <t>WO-1374</t>
  </si>
  <si>
    <t>2025-01-29 07:44</t>
  </si>
  <si>
    <t>WO-1375</t>
  </si>
  <si>
    <t>2025-07-02</t>
  </si>
  <si>
    <t>2025-07-02 21:44</t>
  </si>
  <si>
    <t>2025-07-03 01:21</t>
  </si>
  <si>
    <t>WO-1376</t>
  </si>
  <si>
    <t>2025-11-21</t>
  </si>
  <si>
    <t>2025-11-21 21:44</t>
  </si>
  <si>
    <t>WO-1377</t>
  </si>
  <si>
    <t>2025-03-29</t>
  </si>
  <si>
    <t>2025-03-29 21:44</t>
  </si>
  <si>
    <t>2025-03-30 03:50</t>
  </si>
  <si>
    <t>WO-1378</t>
  </si>
  <si>
    <t>2025-01-17 03:40</t>
  </si>
  <si>
    <t>WO-1379</t>
  </si>
  <si>
    <t>2025-11-25</t>
  </si>
  <si>
    <t>2025-11-25 21:44</t>
  </si>
  <si>
    <t>2025-11-26 05:59</t>
  </si>
  <si>
    <t>WO-1380</t>
  </si>
  <si>
    <t>Breakdown maintenance on Centrifugal Pump C-129</t>
  </si>
  <si>
    <t>WO-1381</t>
  </si>
  <si>
    <t>2025-07-06 03:26</t>
  </si>
  <si>
    <t>Preventive maintenance on Centrifugal Pump C-129</t>
  </si>
  <si>
    <t>WO-1382</t>
  </si>
  <si>
    <t>2025-12-14 15:05</t>
  </si>
  <si>
    <t>Corrective maintenance on Centrifugal Pump C-129</t>
  </si>
  <si>
    <t>WO-1383</t>
  </si>
  <si>
    <t>2025-09-15</t>
  </si>
  <si>
    <t>2025-09-15 21:44</t>
  </si>
  <si>
    <t>2025-09-16 10:07</t>
  </si>
  <si>
    <t>WO-1384</t>
  </si>
  <si>
    <t>2025-07-13 08:46</t>
  </si>
  <si>
    <t>WO-1385</t>
  </si>
  <si>
    <t>WO-1386</t>
  </si>
  <si>
    <t>2025-07-26</t>
  </si>
  <si>
    <t>2025-07-26 21:44</t>
  </si>
  <si>
    <t>2025-07-27 00:31</t>
  </si>
  <si>
    <t>WO-1387</t>
  </si>
  <si>
    <t>2025-01-26 00:36</t>
  </si>
  <si>
    <t>WO-1388</t>
  </si>
  <si>
    <t>2025-10-18</t>
  </si>
  <si>
    <t>2025-10-18 21:44</t>
  </si>
  <si>
    <t>2025-10-20 02:38</t>
  </si>
  <si>
    <t>WO-1389</t>
  </si>
  <si>
    <t>2025-10-07 01:05</t>
  </si>
  <si>
    <t>Inspection maintenance on Centrifugal Pump C-129</t>
  </si>
  <si>
    <t>WO-1390</t>
  </si>
  <si>
    <t>2025-08-28 05:27</t>
  </si>
  <si>
    <t>WO-1391</t>
  </si>
  <si>
    <t>2025-06-10 06:39</t>
  </si>
  <si>
    <t>WO-1392</t>
  </si>
  <si>
    <t>2025-05-31 16:57</t>
  </si>
  <si>
    <t>WO-1393</t>
  </si>
  <si>
    <t>2025-08-06 07:29</t>
  </si>
  <si>
    <t>WO-1394</t>
  </si>
  <si>
    <t>2025-07-19 07:09</t>
  </si>
  <si>
    <t>WO-1395</t>
  </si>
  <si>
    <t>2025-12-21 04:48</t>
  </si>
  <si>
    <t>WO-1396</t>
  </si>
  <si>
    <t>2025-04-04 01:15</t>
  </si>
  <si>
    <t>WO-1397</t>
  </si>
  <si>
    <t>2025-08-17 04:47</t>
  </si>
  <si>
    <t>WO-1398</t>
  </si>
  <si>
    <t>2025-08-21</t>
  </si>
  <si>
    <t>2025-08-21 21:44</t>
  </si>
  <si>
    <t>2025-08-22 05:36</t>
  </si>
  <si>
    <t>WO-1399</t>
  </si>
  <si>
    <t>WO-1400</t>
  </si>
  <si>
    <t>2025-11-18 23:25</t>
  </si>
  <si>
    <t>WO-1401</t>
  </si>
  <si>
    <t>2025-02-28 06:13</t>
  </si>
  <si>
    <t>Total_Work_Orders</t>
  </si>
  <si>
    <t>Total_Downtime_Hours</t>
  </si>
  <si>
    <t>Total_Cost_NGN</t>
  </si>
  <si>
    <t>MTBF_Hours</t>
  </si>
  <si>
    <t>MTTR_Hours</t>
  </si>
  <si>
    <t>Availability_Pct</t>
  </si>
  <si>
    <t>Total_Equipment</t>
  </si>
  <si>
    <t>Completed_WO</t>
  </si>
  <si>
    <t>In_Progress_WO</t>
  </si>
  <si>
    <t>Planned_WO</t>
  </si>
  <si>
    <t>Total_Maintenance_Cost_NGN</t>
  </si>
  <si>
    <t>Avg_Downtime_Hours</t>
  </si>
  <si>
    <t>Avg_Cost_Per_WO_NGN</t>
  </si>
  <si>
    <t>Preventive_Maintenance_Pct</t>
  </si>
  <si>
    <t>Breakdown_Maintenance_Pct</t>
  </si>
  <si>
    <t>Work Orders</t>
  </si>
  <si>
    <t>(All)</t>
  </si>
  <si>
    <t>Count of WO_Number</t>
  </si>
  <si>
    <t>Sum of Cost_NGN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</si>
  <si>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</si>
  <si>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</si>
  <si>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</si>
  <si>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</si>
  <si>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</si>
  <si>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</si>
  <si>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</si>
  <si>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</si>
  <si>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</si>
  <si>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</si>
  <si>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</si>
  <si>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</si>
  <si>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</si>
  <si>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Sum of Total_Downtime_Hours</t>
  </si>
  <si>
    <t>MAINTENANCE KPI DASHBOARD
Oil &amp; Gas Operations</t>
  </si>
  <si>
    <t>Total Work Orders</t>
  </si>
  <si>
    <t>Completed Work Orders</t>
  </si>
  <si>
    <t>Total Downtime (Hours)</t>
  </si>
  <si>
    <t>Total Maintenance Cost (₦)</t>
  </si>
  <si>
    <t>Avg Downtime per Work Order (hrs)</t>
  </si>
  <si>
    <t>Avg Cost per Work Order (₦)</t>
  </si>
  <si>
    <t>Preventive Maintenance (%)</t>
  </si>
  <si>
    <t>Use Status filter on Analysis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</si>
</sst>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\₦#,##0.00"/>
    <numFmt numFmtId="169" formatCode="[$₦-469]\ #,##0.00"/>
    <numFmt numFmtId="175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97D"/>
      <name val="Calibri"/>
      <scheme val="minor"/>
    </font>
    <font>
      <b/>
      <sz val="20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3" xfId="0" applyBorder="1"/>
    <xf numFmtId="0" fontId="0" fillId="0" borderId="0" xfId="0" applyBorder="1"/>
    <xf numFmtId="0" fontId="3" fillId="0" borderId="0" xfId="0" applyFont="1" applyBorder="1"/>
    <xf numFmtId="169" fontId="0" fillId="0" borderId="0" xfId="0" applyNumberFormat="1"/>
    <xf numFmtId="1" fontId="3" fillId="0" borderId="4" xfId="0" applyNumberFormat="1" applyFont="1" applyBorder="1"/>
    <xf numFmtId="0" fontId="0" fillId="0" borderId="0" xfId="0" applyFont="1" applyBorder="1" applyAlignment="1">
      <alignment horizontal="center" wrapText="1" indent="1"/>
    </xf>
    <xf numFmtId="0" fontId="0" fillId="0" borderId="5" xfId="0" applyBorder="1"/>
    <xf numFmtId="0" fontId="3" fillId="0" borderId="6" xfId="0" applyFont="1" applyBorder="1"/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Font="1" applyBorder="1" applyAlignment="1">
      <alignment horizontal="center" wrapText="1" indent="1"/>
    </xf>
    <xf numFmtId="1" fontId="3" fillId="0" borderId="6" xfId="0" applyNumberFormat="1" applyFont="1" applyBorder="1"/>
    <xf numFmtId="10" fontId="0" fillId="0" borderId="5" xfId="0" applyNumberFormat="1" applyBorder="1"/>
    <xf numFmtId="9" fontId="3" fillId="0" borderId="6" xfId="0" applyNumberFormat="1" applyFont="1" applyBorder="1"/>
    <xf numFmtId="175" fontId="3" fillId="0" borderId="6" xfId="0" applyNumberFormat="1" applyFont="1" applyBorder="1"/>
    <xf numFmtId="0" fontId="4" fillId="0" borderId="0" xfId="0" applyFont="1"/>
  </cellXfs>
  <cellStyles count="1">
    <cellStyle name="Normal" xfId="0" builtinId="0"/>
  </cellStyles>
  <dxfs count="18">
    <dxf>
      <numFmt numFmtId="164" formatCode="#,##0.0"/>
    </dxf>
    <dxf>
      <numFmt numFmtId="164" formatCode="#,##0.0"/>
    </dxf>
    <dxf>
      <numFmt numFmtId="165" formatCode="\₦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\₦#,##0.00"/>
    </dxf>
    <dxf>
      <numFmt numFmtId="164" formatCode="#,##0.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Copy.xlsx]Pivots!Status Pivot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Pivots!$C$1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1D-4163-A929-D86ADE7B9D6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1D-4163-A929-D86ADE7B9D6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1D-4163-A929-D86ADE7B9D6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1D-4163-A929-D86ADE7B9D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Pivots!$A$2:$B$5</c:f>
              <c:multiLvlStrCache>
                <c:ptCount val="4"/>
                <c:lvl>
                  <c:pt idx="0">
                    <c:v>Completed</c:v>
                  </c:pt>
                  <c:pt idx="1">
                    <c:v>In Progress</c:v>
                  </c:pt>
                  <c:pt idx="2">
                    <c:v>Planned</c:v>
                  </c:pt>
                  <c:pt idx="3">
                    <c:v>Cancelled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Pivots!$C$2:$C$5</c:f>
              <c:numCache>
                <c:formatCode>General</c:formatCode>
                <c:ptCount val="4"/>
                <c:pt idx="0">
                  <c:v>330</c:v>
                </c:pt>
                <c:pt idx="1">
                  <c:v>40</c:v>
                </c:pt>
                <c:pt idx="2">
                  <c:v>23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4FFA-8029-D8E26086E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DD9C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Copy.xlsx]Pivots!Maintenance 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Type Distribution (Completed Work Orders)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Pivots!$A$16:$B$20</c:f>
              <c:multiLvlStrCache>
                <c:ptCount val="5"/>
                <c:lvl>
                  <c:pt idx="0">
                    <c:v>Preventive</c:v>
                  </c:pt>
                  <c:pt idx="1">
                    <c:v>Inspection</c:v>
                  </c:pt>
                  <c:pt idx="2">
                    <c:v>Corrective</c:v>
                  </c:pt>
                  <c:pt idx="3">
                    <c:v>Breakdown</c:v>
                  </c:pt>
                  <c:pt idx="4">
                    <c:v>Overhaul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Pivots!$C$16:$C$20</c:f>
              <c:numCache>
                <c:formatCode>General</c:formatCode>
                <c:ptCount val="5"/>
                <c:pt idx="0">
                  <c:v>198</c:v>
                </c:pt>
                <c:pt idx="1">
                  <c:v>35</c:v>
                </c:pt>
                <c:pt idx="2">
                  <c:v>90</c:v>
                </c:pt>
                <c:pt idx="3">
                  <c:v>65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D-4745-A28F-E98AD815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030856"/>
        <c:axId val="1008518152"/>
      </c:barChart>
      <c:catAx>
        <c:axId val="212603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18152"/>
        <c:crosses val="autoZero"/>
        <c:auto val="1"/>
        <c:lblAlgn val="ctr"/>
        <c:lblOffset val="100"/>
        <c:noMultiLvlLbl val="0"/>
      </c:catAx>
      <c:valAx>
        <c:axId val="100851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3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Copy.xlsx]Pivots!Monthly Cost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Maintenance Cost Trend (Completed Work Orders)</a:t>
            </a:r>
          </a:p>
        </c:rich>
      </c:tx>
      <c:layout>
        <c:manualLayout>
          <c:xMode val="edge"/>
          <c:yMode val="edge"/>
          <c:x val="0.134534570895885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Pivots!$A$31:$A$43</c:f>
              <c:strCache>
                <c:ptCount val="13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  <c:pt idx="11">
                  <c:v>2025-11</c:v>
                </c:pt>
                <c:pt idx="12">
                  <c:v>2025-12</c:v>
                </c:pt>
              </c:strCache>
            </c:strRef>
          </c:cat>
          <c:val>
            <c:numRef>
              <c:f>Pivots!$B$31:$B$43</c:f>
              <c:numCache>
                <c:formatCode>\₦#,##0.00</c:formatCode>
                <c:ptCount val="13"/>
                <c:pt idx="0">
                  <c:v>1697933.06</c:v>
                </c:pt>
                <c:pt idx="1">
                  <c:v>4265011.88</c:v>
                </c:pt>
                <c:pt idx="2">
                  <c:v>7611409.8500000006</c:v>
                </c:pt>
                <c:pt idx="3">
                  <c:v>6476371.7400000002</c:v>
                </c:pt>
                <c:pt idx="4">
                  <c:v>7039637.3499999987</c:v>
                </c:pt>
                <c:pt idx="5">
                  <c:v>5728906.3499999996</c:v>
                </c:pt>
                <c:pt idx="6">
                  <c:v>7992180.3799999999</c:v>
                </c:pt>
                <c:pt idx="7">
                  <c:v>9376258.0299999975</c:v>
                </c:pt>
                <c:pt idx="8">
                  <c:v>8451314.9900000002</c:v>
                </c:pt>
                <c:pt idx="9">
                  <c:v>7147153.3099999996</c:v>
                </c:pt>
                <c:pt idx="10">
                  <c:v>8528918.879999999</c:v>
                </c:pt>
                <c:pt idx="11">
                  <c:v>7234946.7599999998</c:v>
                </c:pt>
                <c:pt idx="12">
                  <c:v>7551208.4299999988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F-4C9A-8838-29C8E4C28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346823"/>
        <c:axId val="701348871"/>
      </c:lineChart>
      <c:catAx>
        <c:axId val="70134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48871"/>
        <c:crosses val="autoZero"/>
        <c:auto val="1"/>
        <c:lblAlgn val="ctr"/>
        <c:lblOffset val="100"/>
        <c:noMultiLvlLbl val="0"/>
      </c:catAx>
      <c:valAx>
        <c:axId val="70134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468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Copy.xlsx]Pivots!Downtime 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Equipment by Downtime (Hours)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Pivots!$A$56:$A$65</c:f>
              <c:strCache>
                <c:ptCount val="10"/>
                <c:pt idx="0">
                  <c:v>EQ-117</c:v>
                </c:pt>
                <c:pt idx="1">
                  <c:v>EQ-106</c:v>
                </c:pt>
                <c:pt idx="2">
                  <c:v>EQ-119</c:v>
                </c:pt>
                <c:pt idx="3">
                  <c:v>EQ-121</c:v>
                </c:pt>
                <c:pt idx="4">
                  <c:v>EQ-101</c:v>
                </c:pt>
                <c:pt idx="5">
                  <c:v>EQ-109</c:v>
                </c:pt>
                <c:pt idx="6">
                  <c:v>EQ-105</c:v>
                </c:pt>
                <c:pt idx="7">
                  <c:v>EQ-116</c:v>
                </c:pt>
                <c:pt idx="8">
                  <c:v>EQ-112</c:v>
                </c:pt>
                <c:pt idx="9">
                  <c:v>EQ-103</c:v>
                </c:pt>
              </c:strCache>
            </c:strRef>
          </c:cat>
          <c:val>
            <c:numRef>
              <c:f>Pivots!$B$56:$B$65</c:f>
              <c:numCache>
                <c:formatCode>General</c:formatCode>
                <c:ptCount val="10"/>
                <c:pt idx="0">
                  <c:v>180.2</c:v>
                </c:pt>
                <c:pt idx="1">
                  <c:v>183.6</c:v>
                </c:pt>
                <c:pt idx="2">
                  <c:v>195.8</c:v>
                </c:pt>
                <c:pt idx="3">
                  <c:v>204.1</c:v>
                </c:pt>
                <c:pt idx="4">
                  <c:v>205</c:v>
                </c:pt>
                <c:pt idx="5">
                  <c:v>207.8</c:v>
                </c:pt>
                <c:pt idx="6">
                  <c:v>212.1</c:v>
                </c:pt>
                <c:pt idx="7">
                  <c:v>219.3</c:v>
                </c:pt>
                <c:pt idx="8">
                  <c:v>221.1</c:v>
                </c:pt>
                <c:pt idx="9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B-4E29-AC79-9E4C6B38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017799"/>
        <c:axId val="642607623"/>
      </c:barChart>
      <c:catAx>
        <c:axId val="642017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07623"/>
        <c:crosses val="autoZero"/>
        <c:auto val="1"/>
        <c:lblAlgn val="ctr"/>
        <c:lblOffset val="100"/>
        <c:noMultiLvlLbl val="0"/>
      </c:catAx>
      <c:valAx>
        <c:axId val="642607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17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Copy.xlsx]Pivots!Status Pivot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 Orders by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Pivots!$C$1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6E-467A-8543-814EDA402AE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6E-467A-8543-814EDA402AE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6E-467A-8543-814EDA402AE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6E-467A-8543-814EDA402A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Pivots!$A$2:$B$5</c:f>
              <c:multiLvlStrCache>
                <c:ptCount val="4"/>
                <c:lvl>
                  <c:pt idx="0">
                    <c:v>Completed</c:v>
                  </c:pt>
                  <c:pt idx="1">
                    <c:v>In Progress</c:v>
                  </c:pt>
                  <c:pt idx="2">
                    <c:v>Planned</c:v>
                  </c:pt>
                  <c:pt idx="3">
                    <c:v>Cancelled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Pivots!$C$2:$C$5</c:f>
              <c:numCache>
                <c:formatCode>General</c:formatCode>
                <c:ptCount val="4"/>
                <c:pt idx="0">
                  <c:v>330</c:v>
                </c:pt>
                <c:pt idx="1">
                  <c:v>40</c:v>
                </c:pt>
                <c:pt idx="2">
                  <c:v>23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6E-467A-8543-814EDA40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DDD9C4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Copy.xlsx]Pivots!Maintenance Pivot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rgbClr val="1F497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Maintenance Type Distribution (Completed Work Orders)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rgbClr val="1F497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Pivots!$A$16:$B$20</c:f>
              <c:multiLvlStrCache>
                <c:ptCount val="5"/>
                <c:lvl>
                  <c:pt idx="0">
                    <c:v>Preventive</c:v>
                  </c:pt>
                  <c:pt idx="1">
                    <c:v>Inspection</c:v>
                  </c:pt>
                  <c:pt idx="2">
                    <c:v>Corrective</c:v>
                  </c:pt>
                  <c:pt idx="3">
                    <c:v>Breakdown</c:v>
                  </c:pt>
                  <c:pt idx="4">
                    <c:v>Overhaul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Pivots!$C$16:$C$20</c:f>
              <c:numCache>
                <c:formatCode>General</c:formatCode>
                <c:ptCount val="5"/>
                <c:pt idx="0">
                  <c:v>198</c:v>
                </c:pt>
                <c:pt idx="1">
                  <c:v>35</c:v>
                </c:pt>
                <c:pt idx="2">
                  <c:v>90</c:v>
                </c:pt>
                <c:pt idx="3">
                  <c:v>65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2-4B4F-B3A0-31E999887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030856"/>
        <c:axId val="1008518152"/>
      </c:barChart>
      <c:catAx>
        <c:axId val="212603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518152"/>
        <c:crosses val="autoZero"/>
        <c:auto val="1"/>
        <c:lblAlgn val="ctr"/>
        <c:lblOffset val="100"/>
        <c:noMultiLvlLbl val="0"/>
      </c:catAx>
      <c:valAx>
        <c:axId val="1008518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03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Copy.xlsx]Pivots!Monthly Cost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Maintenance Cost Trend (Completed Work Orders)</a:t>
            </a:r>
          </a:p>
        </c:rich>
      </c:tx>
      <c:layout>
        <c:manualLayout>
          <c:xMode val="edge"/>
          <c:yMode val="edge"/>
          <c:x val="0.134534570895885"/>
          <c:y val="3.0555619133843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Pivots!$A$31:$A$43</c:f>
              <c:strCache>
                <c:ptCount val="13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  <c:pt idx="7">
                  <c:v>2025-07</c:v>
                </c:pt>
                <c:pt idx="8">
                  <c:v>2025-08</c:v>
                </c:pt>
                <c:pt idx="9">
                  <c:v>2025-09</c:v>
                </c:pt>
                <c:pt idx="10">
                  <c:v>2025-10</c:v>
                </c:pt>
                <c:pt idx="11">
                  <c:v>2025-11</c:v>
                </c:pt>
                <c:pt idx="12">
                  <c:v>2025-12</c:v>
                </c:pt>
              </c:strCache>
            </c:strRef>
          </c:cat>
          <c:val>
            <c:numRef>
              <c:f>Pivots!$B$31:$B$43</c:f>
              <c:numCache>
                <c:formatCode>\₦#,##0.00</c:formatCode>
                <c:ptCount val="13"/>
                <c:pt idx="0">
                  <c:v>1697933.06</c:v>
                </c:pt>
                <c:pt idx="1">
                  <c:v>4265011.88</c:v>
                </c:pt>
                <c:pt idx="2">
                  <c:v>7611409.8500000006</c:v>
                </c:pt>
                <c:pt idx="3">
                  <c:v>6476371.7400000002</c:v>
                </c:pt>
                <c:pt idx="4">
                  <c:v>7039637.3499999987</c:v>
                </c:pt>
                <c:pt idx="5">
                  <c:v>5728906.3499999996</c:v>
                </c:pt>
                <c:pt idx="6">
                  <c:v>7992180.3799999999</c:v>
                </c:pt>
                <c:pt idx="7">
                  <c:v>9376258.0299999975</c:v>
                </c:pt>
                <c:pt idx="8">
                  <c:v>8451314.9900000002</c:v>
                </c:pt>
                <c:pt idx="9">
                  <c:v>7147153.3099999996</c:v>
                </c:pt>
                <c:pt idx="10">
                  <c:v>8528918.879999999</c:v>
                </c:pt>
                <c:pt idx="11">
                  <c:v>7234946.7599999998</c:v>
                </c:pt>
                <c:pt idx="12">
                  <c:v>7551208.4299999988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F-415C-B97A-C8379E25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346823"/>
        <c:axId val="701348871"/>
      </c:lineChart>
      <c:catAx>
        <c:axId val="701346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48871"/>
        <c:crosses val="autoZero"/>
        <c:auto val="1"/>
        <c:lblAlgn val="ctr"/>
        <c:lblOffset val="100"/>
        <c:noMultiLvlLbl val="0"/>
      </c:catAx>
      <c:valAx>
        <c:axId val="70134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4682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[CMMS_Maintenance_Data - Copy.xlsx]Pivots!Downtime Pivot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Equipment by Downtime (Hours)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Pivots!$A$56:$A$65</c:f>
              <c:strCache>
                <c:ptCount val="10"/>
                <c:pt idx="0">
                  <c:v>EQ-117</c:v>
                </c:pt>
                <c:pt idx="1">
                  <c:v>EQ-106</c:v>
                </c:pt>
                <c:pt idx="2">
                  <c:v>EQ-119</c:v>
                </c:pt>
                <c:pt idx="3">
                  <c:v>EQ-121</c:v>
                </c:pt>
                <c:pt idx="4">
                  <c:v>EQ-101</c:v>
                </c:pt>
                <c:pt idx="5">
                  <c:v>EQ-109</c:v>
                </c:pt>
                <c:pt idx="6">
                  <c:v>EQ-105</c:v>
                </c:pt>
                <c:pt idx="7">
                  <c:v>EQ-116</c:v>
                </c:pt>
                <c:pt idx="8">
                  <c:v>EQ-112</c:v>
                </c:pt>
                <c:pt idx="9">
                  <c:v>EQ-103</c:v>
                </c:pt>
              </c:strCache>
            </c:strRef>
          </c:cat>
          <c:val>
            <c:numRef>
              <c:f>Pivots!$B$56:$B$65</c:f>
              <c:numCache>
                <c:formatCode>General</c:formatCode>
                <c:ptCount val="10"/>
                <c:pt idx="0">
                  <c:v>180.2</c:v>
                </c:pt>
                <c:pt idx="1">
                  <c:v>183.6</c:v>
                </c:pt>
                <c:pt idx="2">
                  <c:v>195.8</c:v>
                </c:pt>
                <c:pt idx="3">
                  <c:v>204.1</c:v>
                </c:pt>
                <c:pt idx="4">
                  <c:v>205</c:v>
                </c:pt>
                <c:pt idx="5">
                  <c:v>207.8</c:v>
                </c:pt>
                <c:pt idx="6">
                  <c:v>212.1</c:v>
                </c:pt>
                <c:pt idx="7">
                  <c:v>219.3</c:v>
                </c:pt>
                <c:pt idx="8">
                  <c:v>221.1</c:v>
                </c:pt>
                <c:pt idx="9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9-4AE1-B70B-4C0CC1F3D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2017799"/>
        <c:axId val="642607623"/>
      </c:barChart>
      <c:catAx>
        <c:axId val="642017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07623"/>
        <c:crosses val="autoZero"/>
        <c:auto val="1"/>
        <c:lblAlgn val="ctr"/>
        <c:lblOffset val="100"/>
        <c:noMultiLvlLbl val="0"/>
      </c:catAx>
      <c:valAx>
        <c:axId val="642607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Equipment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17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152400</xdr:rowOff>
    </xdr:from>
    <xdr:to>
      <xdr:col>10</xdr:col>
      <xdr:colOff>219075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A2673-0A81-B8C4-9A19-8F5A07C05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12</xdr:row>
      <xdr:rowOff>104775</xdr:rowOff>
    </xdr:from>
    <xdr:to>
      <xdr:col>10</xdr:col>
      <xdr:colOff>304800</xdr:colOff>
      <xdr:row>26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A4EC88-A461-0654-17AD-D5B964A0C9B2}"/>
            </a:ext>
            <a:ext uri="{147F2762-F138-4A5C-976F-8EAC2B608ADB}">
              <a16:predDERef xmlns:a16="http://schemas.microsoft.com/office/drawing/2014/main" pred="{99DA2673-0A81-B8C4-9A19-8F5A07C05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962025</xdr:colOff>
      <xdr:row>28</xdr:row>
      <xdr:rowOff>76200</xdr:rowOff>
    </xdr:from>
    <xdr:to>
      <xdr:col>9</xdr:col>
      <xdr:colOff>457200</xdr:colOff>
      <xdr:row>42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3F99B-761E-A1E5-2E53-A959313B7E47}"/>
            </a:ext>
            <a:ext uri="{147F2762-F138-4A5C-976F-8EAC2B608ADB}">
              <a16:predDERef xmlns:a16="http://schemas.microsoft.com/office/drawing/2014/main" pred="{E1A4EC88-A461-0654-17AD-D5B964A0C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361950</xdr:colOff>
      <xdr:row>53</xdr:row>
      <xdr:rowOff>19050</xdr:rowOff>
    </xdr:from>
    <xdr:to>
      <xdr:col>9</xdr:col>
      <xdr:colOff>419100</xdr:colOff>
      <xdr:row>67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1A650C-760B-DB4B-052C-A6ADB79B8AF0}"/>
            </a:ext>
            <a:ext uri="{147F2762-F138-4A5C-976F-8EAC2B608ADB}">
              <a16:predDERef xmlns:a16="http://schemas.microsoft.com/office/drawing/2014/main" pred="{B81488CC-87C1-C59D-182B-7ACE13CC0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76200</xdr:colOff>
      <xdr:row>1</xdr:row>
      <xdr:rowOff>47625</xdr:rowOff>
    </xdr:from>
    <xdr:to>
      <xdr:col>15</xdr:col>
      <xdr:colOff>304800</xdr:colOff>
      <xdr:row>16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us 1">
              <a:extLst>
                <a:ext uri="{FF2B5EF4-FFF2-40B4-BE49-F238E27FC236}">
                  <a16:creationId xmlns:a16="http://schemas.microsoft.com/office/drawing/2014/main" id="{DCD26E31-8C3F-7065-C6CB-E8FA349A2E54}"/>
                </a:ext>
                <a:ext uri="{147F2762-F138-4A5C-976F-8EAC2B608ADB}">
                  <a16:predDERef xmlns:a16="http://schemas.microsoft.com/office/drawing/2014/main" pred="{CF1A650C-760B-DB4B-052C-A6ADB79B8A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15225" y="238125"/>
              <a:ext cx="2667000" cy="2943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8</xdr:row>
      <xdr:rowOff>152400</xdr:rowOff>
    </xdr:from>
    <xdr:to>
      <xdr:col>2</xdr:col>
      <xdr:colOff>1552575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18AF48-0EBF-41D7-814A-6E9BF678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9</xdr:row>
      <xdr:rowOff>0</xdr:rowOff>
    </xdr:from>
    <xdr:to>
      <xdr:col>5</xdr:col>
      <xdr:colOff>1704975</xdr:colOff>
      <xdr:row>19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939DA9-E16F-4FA4-A578-AF2C666E2A21}"/>
            </a:ext>
            <a:ext uri="{147F2762-F138-4A5C-976F-8EAC2B608ADB}">
              <a16:predDERef xmlns:a16="http://schemas.microsoft.com/office/drawing/2014/main" pred="{F918AF48-0EBF-41D7-814A-6E9BF6786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657225</xdr:colOff>
      <xdr:row>23</xdr:row>
      <xdr:rowOff>0</xdr:rowOff>
    </xdr:from>
    <xdr:to>
      <xdr:col>5</xdr:col>
      <xdr:colOff>1828800</xdr:colOff>
      <xdr:row>40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29050AF-64A5-4975-AE99-6BF5A17E27DC}"/>
            </a:ext>
            <a:ext uri="{147F2762-F138-4A5C-976F-8EAC2B608ADB}">
              <a16:predDERef xmlns:a16="http://schemas.microsoft.com/office/drawing/2014/main" pred="{40939DA9-E16F-4FA4-A578-AF2C666E2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5</xdr:col>
      <xdr:colOff>1828800</xdr:colOff>
      <xdr:row>60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AD1C48-83B0-4EB5-9DCD-7C78740FEDCE}"/>
            </a:ext>
            <a:ext uri="{147F2762-F138-4A5C-976F-8EAC2B608ADB}">
              <a16:predDERef xmlns:a16="http://schemas.microsoft.com/office/drawing/2014/main" pred="{929050AF-64A5-4975-AE99-6BF5A17E2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4.759890046298" createdVersion="8" refreshedVersion="8" minRefreshableVersion="3" recordCount="402" xr:uid="{EFA1C7D1-4069-4425-9DDE-874C15AEAB1F}">
  <cacheSource type="worksheet">
    <worksheetSource name="tblWO"/>
  </cacheSource>
  <cacheFields count="18">
    <cacheField name="WO_Number" numFmtId="0">
      <sharedItems/>
    </cacheField>
    <cacheField name="Equipment_ID" numFmtId="0">
      <sharedItems/>
    </cacheField>
    <cacheField name="Equipment_Name" numFmtId="0">
      <sharedItems/>
    </cacheField>
    <cacheField name="Maintenance_Type" numFmtId="0">
      <sharedItems count="5">
        <s v="Inspection"/>
        <s v="Corrective"/>
        <s v="Preventive"/>
        <s v="Breakdown"/>
        <s v="Overhaul"/>
      </sharedItems>
    </cacheField>
    <cacheField name="Priority" numFmtId="0">
      <sharedItems/>
    </cacheField>
    <cacheField name="Status" numFmtId="0">
      <sharedItems count="4">
        <s v="Completed"/>
        <s v="In Progress"/>
        <s v="Planned"/>
        <s v="Cancelled"/>
      </sharedItems>
    </cacheField>
    <cacheField name="Created_Date" numFmtId="0">
      <sharedItems/>
    </cacheField>
    <cacheField name="Scheduled_Start" numFmtId="0">
      <sharedItems/>
    </cacheField>
    <cacheField name="Actual_Start" numFmtId="0">
      <sharedItems containsBlank="1"/>
    </cacheField>
    <cacheField name="Completion_Date" numFmtId="0">
      <sharedItems containsBlank="1"/>
    </cacheField>
    <cacheField name="Downtime_Hours" numFmtId="164">
      <sharedItems containsSemiMixedTypes="0" containsString="0" containsNumber="1" minValue="0" maxValue="115.1"/>
    </cacheField>
    <cacheField name="Cost_NGN" numFmtId="165">
      <sharedItems containsSemiMixedTypes="0" containsString="0" containsNumber="1" minValue="0" maxValue="1472379.73"/>
    </cacheField>
    <cacheField name="Failure_Type" numFmtId="0">
      <sharedItems containsBlank="1"/>
    </cacheField>
    <cacheField name="Technician" numFmtId="0">
      <sharedItems/>
    </cacheField>
    <cacheField name="Description" numFmtId="0">
      <sharedItems/>
    </cacheField>
    <cacheField name="Year_Month" numFmtId="0">
      <sharedItems count="13">
        <s v="2025-01"/>
        <s v="2025-03"/>
        <s v="2025-12"/>
        <s v="2025-04"/>
        <s v="2025-10"/>
        <s v="2025-07"/>
        <s v="2025-09"/>
        <s v="2025-08"/>
        <s v="2025-05"/>
        <s v="2025-11"/>
        <s v="2025-02"/>
        <s v="2025-06"/>
        <s v="2024-12"/>
      </sharedItems>
    </cacheField>
    <cacheField name="Status_Ord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aintenance_Type_Order" numFmtId="0">
      <sharedItems containsSemiMixedTypes="0" containsString="0" containsNumber="1" containsInteger="1" minValue="1" maxValue="5" count="5">
        <n v="2"/>
        <n v="3"/>
        <n v="1"/>
        <n v="4"/>
        <n v="5"/>
      </sharedItems>
    </cacheField>
  </cacheFields>
  <extLst>
    <ext xmlns:x14="http://schemas.microsoft.com/office/spreadsheetml/2009/9/main" uri="{725AE2AE-9491-48be-B2B4-4EB974FC3084}">
      <x14:pivotCacheDefinition pivotCacheId="83055098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088653587962" createdVersion="8" refreshedVersion="8" minRefreshableVersion="3" recordCount="30" xr:uid="{AC0E2007-CF7A-42D0-9E29-FF78E5E02910}">
  <cacheSource type="worksheet">
    <worksheetSource name="tblEquipMetrics"/>
  </cacheSource>
  <cacheFields count="7">
    <cacheField name="Equipment_ID" numFmtId="0">
      <sharedItems count="30">
        <s v="EQ-100"/>
        <s v="EQ-101"/>
        <s v="EQ-102"/>
        <s v="EQ-103"/>
        <s v="EQ-104"/>
        <s v="EQ-105"/>
        <s v="EQ-106"/>
        <s v="EQ-107"/>
        <s v="EQ-108"/>
        <s v="EQ-109"/>
        <s v="EQ-110"/>
        <s v="EQ-111"/>
        <s v="EQ-112"/>
        <s v="EQ-113"/>
        <s v="EQ-114"/>
        <s v="EQ-115"/>
        <s v="EQ-116"/>
        <s v="EQ-117"/>
        <s v="EQ-118"/>
        <s v="EQ-119"/>
        <s v="EQ-120"/>
        <s v="EQ-121"/>
        <s v="EQ-122"/>
        <s v="EQ-123"/>
        <s v="EQ-124"/>
        <s v="EQ-125"/>
        <s v="EQ-126"/>
        <s v="EQ-127"/>
        <s v="EQ-128"/>
        <s v="EQ-129"/>
      </sharedItems>
    </cacheField>
    <cacheField name="Total_Work_Orders" numFmtId="0">
      <sharedItems containsSemiMixedTypes="0" containsString="0" containsNumber="1" containsInteger="1" minValue="4" maxValue="22"/>
    </cacheField>
    <cacheField name="Total_Downtime_Hours" numFmtId="0">
      <sharedItems containsSemiMixedTypes="0" containsString="0" containsNumber="1" minValue="22.3" maxValue="304.89999999999998"/>
    </cacheField>
    <cacheField name="Total_Cost_NGN" numFmtId="165">
      <sharedItems containsSemiMixedTypes="0" containsString="0" containsNumber="1" minValue="1047945.41" maxValue="5086336.95"/>
    </cacheField>
    <cacheField name="MTBF_Hours" numFmtId="164">
      <sharedItems containsSemiMixedTypes="0" containsString="0" containsNumber="1" containsInteger="1" minValue="1752" maxValue="8760"/>
    </cacheField>
    <cacheField name="MTTR_Hours" numFmtId="164">
      <sharedItems containsSemiMixedTypes="0" containsString="0" containsNumber="1" minValue="4.5" maxValue="24.5"/>
    </cacheField>
    <cacheField name="Availability_Pct" numFmtId="0">
      <sharedItems containsSemiMixedTypes="0" containsString="0" containsNumber="1" minValue="96.52" maxValue="99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s v="WO-1000"/>
    <s v="EQ-100"/>
    <s v="Diesel Generator A-100"/>
    <x v="0"/>
    <s v="Critical"/>
    <x v="0"/>
    <s v="2025-01-31"/>
    <s v="2025-01-31 21:44"/>
    <s v="2025-01-31 21:44"/>
    <s v="2025-01-31 23:00"/>
    <n v="3.3"/>
    <n v="81266.75"/>
    <s v="No Failure"/>
    <s v="Chidi Eze"/>
    <s v="Inspection maintenance on Diesel Generator A-100"/>
    <x v="0"/>
    <x v="0"/>
    <x v="0"/>
  </r>
  <r>
    <s v="WO-1001"/>
    <s v="EQ-100"/>
    <s v="Diesel Generator A-100"/>
    <x v="1"/>
    <s v="Medium"/>
    <x v="1"/>
    <s v="2025-03-16"/>
    <s v="2025-03-16 21:44"/>
    <m/>
    <m/>
    <n v="0"/>
    <n v="0"/>
    <m/>
    <s v="Fatima Bello"/>
    <s v="Corrective maintenance on Diesel Generator A-100"/>
    <x v="1"/>
    <x v="1"/>
    <x v="1"/>
  </r>
  <r>
    <s v="WO-1002"/>
    <s v="EQ-100"/>
    <s v="Diesel Generator A-100"/>
    <x v="0"/>
    <s v="Low"/>
    <x v="0"/>
    <s v="2025-12-10"/>
    <s v="2025-12-10 21:44"/>
    <s v="2025-12-10 21:44"/>
    <s v="2025-12-10 23:20"/>
    <n v="2.9"/>
    <n v="55048.01"/>
    <s v="No Failure"/>
    <s v="Zainab Yusuf"/>
    <s v="Inspection maintenance on Diesel Generator A-100"/>
    <x v="2"/>
    <x v="0"/>
    <x v="0"/>
  </r>
  <r>
    <s v="WO-1003"/>
    <s v="EQ-100"/>
    <s v="Diesel Generator A-100"/>
    <x v="2"/>
    <s v="Medium"/>
    <x v="0"/>
    <s v="2025-04-16"/>
    <s v="2025-04-16 21:44"/>
    <s v="2025-04-16 21:44"/>
    <s v="2025-04-17 00:23"/>
    <n v="7.9"/>
    <n v="51797.71"/>
    <s v="No Failure"/>
    <s v="John Okafor"/>
    <s v="Preventive maintenance on Diesel Generator A-100"/>
    <x v="3"/>
    <x v="0"/>
    <x v="2"/>
  </r>
  <r>
    <s v="WO-1004"/>
    <s v="EQ-100"/>
    <s v="Diesel Generator A-100"/>
    <x v="2"/>
    <s v="High"/>
    <x v="0"/>
    <s v="2025-01-07"/>
    <s v="2025-01-07 21:44"/>
    <s v="2025-01-07 21:44"/>
    <s v="2025-01-08 08:20"/>
    <n v="8.6999999999999993"/>
    <n v="103559.2"/>
    <s v="No Failure"/>
    <s v="Chidi Eze"/>
    <s v="Preventive maintenance on Diesel Generator A-100"/>
    <x v="0"/>
    <x v="0"/>
    <x v="2"/>
  </r>
  <r>
    <s v="WO-1005"/>
    <s v="EQ-100"/>
    <s v="Diesel Generator A-100"/>
    <x v="3"/>
    <s v="Low"/>
    <x v="0"/>
    <s v="2025-10-13"/>
    <s v="2025-10-13 21:44"/>
    <s v="2025-10-13 21:44"/>
    <s v="2025-10-15 00:39"/>
    <n v="15.6"/>
    <n v="258158.49"/>
    <s v="Calibration Drift"/>
    <s v="Tunde Adeleke"/>
    <s v="Breakdown maintenance on Diesel Generator A-100"/>
    <x v="4"/>
    <x v="0"/>
    <x v="3"/>
  </r>
  <r>
    <s v="WO-1006"/>
    <s v="EQ-100"/>
    <s v="Diesel Generator A-100"/>
    <x v="2"/>
    <s v="Medium"/>
    <x v="0"/>
    <s v="2025-07-20"/>
    <s v="2025-07-20 21:44"/>
    <s v="2025-07-20 21:44"/>
    <s v="2025-07-21 04:24"/>
    <n v="11.8"/>
    <n v="74604.47"/>
    <s v="No Failure"/>
    <s v="Tunde Adeleke"/>
    <s v="Preventive maintenance on Diesel Generator A-100"/>
    <x v="5"/>
    <x v="0"/>
    <x v="2"/>
  </r>
  <r>
    <s v="WO-1007"/>
    <s v="EQ-100"/>
    <s v="Diesel Generator A-100"/>
    <x v="3"/>
    <s v="Critical"/>
    <x v="0"/>
    <s v="2025-04-28"/>
    <s v="2025-04-28 21:44"/>
    <s v="2025-04-28 21:44"/>
    <s v="2025-04-29 13:24"/>
    <n v="15.3"/>
    <n v="477576.84"/>
    <s v="Bearing Wear"/>
    <s v="Amina Ibrahim"/>
    <s v="Breakdown maintenance on Diesel Generator A-100"/>
    <x v="3"/>
    <x v="0"/>
    <x v="3"/>
  </r>
  <r>
    <s v="WO-1008"/>
    <s v="EQ-100"/>
    <s v="Diesel Generator A-100"/>
    <x v="2"/>
    <s v="Medium"/>
    <x v="0"/>
    <s v="2025-09-29"/>
    <s v="2025-09-29 21:44"/>
    <s v="2025-09-29 21:44"/>
    <s v="2025-09-30 00:43"/>
    <n v="2.1"/>
    <n v="73315.69"/>
    <s v="No Failure"/>
    <s v="Fatima Bello"/>
    <s v="Preventive maintenance on Diesel Generator A-100"/>
    <x v="6"/>
    <x v="0"/>
    <x v="2"/>
  </r>
  <r>
    <s v="WO-1009"/>
    <s v="EQ-100"/>
    <s v="Diesel Generator A-100"/>
    <x v="2"/>
    <s v="Low"/>
    <x v="1"/>
    <s v="2025-08-27"/>
    <s v="2025-08-27 21:44"/>
    <m/>
    <m/>
    <n v="0"/>
    <n v="0"/>
    <m/>
    <s v="Chidi Eze"/>
    <s v="Preventive maintenance on Diesel Generator A-100"/>
    <x v="7"/>
    <x v="1"/>
    <x v="2"/>
  </r>
  <r>
    <s v="WO-1010"/>
    <s v="EQ-100"/>
    <s v="Diesel Generator A-100"/>
    <x v="2"/>
    <s v="Medium"/>
    <x v="0"/>
    <s v="2025-07-09"/>
    <s v="2025-07-09 21:44"/>
    <s v="2025-07-09 21:44"/>
    <s v="2025-07-10 02:23"/>
    <n v="6.2"/>
    <n v="289329.40999999997"/>
    <s v="No Failure"/>
    <s v="Zainab Yusuf"/>
    <s v="Preventive maintenance on Diesel Generator A-100"/>
    <x v="5"/>
    <x v="0"/>
    <x v="2"/>
  </r>
  <r>
    <s v="WO-1011"/>
    <s v="EQ-100"/>
    <s v="Diesel Generator A-100"/>
    <x v="2"/>
    <s v="Medium"/>
    <x v="0"/>
    <s v="2025-05-22"/>
    <s v="2025-05-22 21:44"/>
    <s v="2025-05-22 21:44"/>
    <s v="2025-05-23 01:55"/>
    <n v="2.6"/>
    <n v="128401.2"/>
    <s v="No Failure"/>
    <s v="John Okafor"/>
    <s v="Preventive maintenance on Diesel Generator A-100"/>
    <x v="8"/>
    <x v="0"/>
    <x v="2"/>
  </r>
  <r>
    <s v="WO-1012"/>
    <s v="EQ-100"/>
    <s v="Diesel Generator A-100"/>
    <x v="1"/>
    <s v="Critical"/>
    <x v="2"/>
    <s v="2025-09-19"/>
    <s v="2025-09-19 21:44"/>
    <m/>
    <m/>
    <n v="0"/>
    <n v="0"/>
    <m/>
    <s v="Chidi Eze"/>
    <s v="Corrective maintenance on Diesel Generator A-100"/>
    <x v="6"/>
    <x v="2"/>
    <x v="1"/>
  </r>
  <r>
    <s v="WO-1013"/>
    <s v="EQ-100"/>
    <s v="Diesel Generator A-100"/>
    <x v="2"/>
    <s v="Critical"/>
    <x v="0"/>
    <s v="2025-01-25"/>
    <s v="2025-01-25 21:44"/>
    <s v="2025-01-25 21:44"/>
    <s v="2025-01-26 06:29"/>
    <n v="10.9"/>
    <n v="111553.84"/>
    <s v="No Failure"/>
    <s v="John Okafor"/>
    <s v="Preventive maintenance on Diesel Generator A-100"/>
    <x v="0"/>
    <x v="0"/>
    <x v="2"/>
  </r>
  <r>
    <s v="WO-1014"/>
    <s v="EQ-100"/>
    <s v="Diesel Generator A-100"/>
    <x v="1"/>
    <s v="Low"/>
    <x v="0"/>
    <s v="2025-11-23"/>
    <s v="2025-11-23 21:44"/>
    <s v="2025-11-23 21:44"/>
    <s v="2025-11-24 13:25"/>
    <n v="8.1"/>
    <n v="386476.72"/>
    <s v="Electrical Fault"/>
    <s v="Fatima Bello"/>
    <s v="Corrective maintenance on Diesel Generator A-100"/>
    <x v="9"/>
    <x v="0"/>
    <x v="1"/>
  </r>
  <r>
    <s v="WO-1015"/>
    <s v="EQ-100"/>
    <s v="Diesel Generator A-100"/>
    <x v="2"/>
    <s v="High"/>
    <x v="0"/>
    <s v="2025-02-27"/>
    <s v="2025-02-27 21:44"/>
    <s v="2025-02-27 21:44"/>
    <s v="2025-02-28 06:27"/>
    <n v="9.5"/>
    <n v="68135.78"/>
    <s v="No Failure"/>
    <s v="Zainab Yusuf"/>
    <s v="Preventive maintenance on Diesel Generator A-100"/>
    <x v="10"/>
    <x v="0"/>
    <x v="2"/>
  </r>
  <r>
    <s v="WO-1016"/>
    <s v="EQ-100"/>
    <s v="Diesel Generator A-100"/>
    <x v="1"/>
    <s v="High"/>
    <x v="0"/>
    <s v="2025-02-11"/>
    <s v="2025-02-11 21:44"/>
    <s v="2025-02-11 21:44"/>
    <s v="2025-02-12 03:12"/>
    <n v="22.7"/>
    <n v="452345.67"/>
    <s v="Calibration Drift"/>
    <s v="Fatima Bello"/>
    <s v="Corrective maintenance on Diesel Generator A-100"/>
    <x v="10"/>
    <x v="0"/>
    <x v="1"/>
  </r>
  <r>
    <s v="WO-1017"/>
    <s v="EQ-100"/>
    <s v="Diesel Generator A-100"/>
    <x v="2"/>
    <s v="High"/>
    <x v="0"/>
    <s v="2025-03-12"/>
    <s v="2025-03-12 21:44"/>
    <s v="2025-03-12 21:44"/>
    <s v="2025-03-13 04:07"/>
    <n v="11.8"/>
    <n v="251774.99"/>
    <s v="No Failure"/>
    <s v="John Okafor"/>
    <s v="Preventive maintenance on Diesel Generator A-100"/>
    <x v="1"/>
    <x v="0"/>
    <x v="2"/>
  </r>
  <r>
    <s v="WO-1018"/>
    <s v="EQ-101"/>
    <s v="Gas Turbine A-101"/>
    <x v="3"/>
    <s v="High"/>
    <x v="1"/>
    <s v="2025-11-26"/>
    <s v="2025-11-26 21:44"/>
    <m/>
    <m/>
    <n v="0"/>
    <n v="0"/>
    <m/>
    <s v="Amina Ibrahim"/>
    <s v="Breakdown maintenance on Gas Turbine A-101"/>
    <x v="9"/>
    <x v="1"/>
    <x v="3"/>
  </r>
  <r>
    <s v="WO-1019"/>
    <s v="EQ-101"/>
    <s v="Gas Turbine A-101"/>
    <x v="3"/>
    <s v="High"/>
    <x v="0"/>
    <s v="2025-05-10"/>
    <s v="2025-05-10 21:44"/>
    <s v="2025-05-10 21:44"/>
    <s v="2025-05-11 17:00"/>
    <n v="35.5"/>
    <n v="711747.69"/>
    <s v="Corrosion"/>
    <s v="Zainab Yusuf"/>
    <s v="Breakdown maintenance on Gas Turbine A-101"/>
    <x v="8"/>
    <x v="0"/>
    <x v="3"/>
  </r>
  <r>
    <s v="WO-1020"/>
    <s v="EQ-101"/>
    <s v="Gas Turbine A-101"/>
    <x v="2"/>
    <s v="High"/>
    <x v="0"/>
    <s v="2025-01-17"/>
    <s v="2025-01-17 21:44"/>
    <s v="2025-01-17 21:44"/>
    <s v="2025-01-18 00:40"/>
    <n v="2"/>
    <n v="242779.81"/>
    <s v="No Failure"/>
    <s v="Emeka Okonkwo"/>
    <s v="Preventive maintenance on Gas Turbine A-101"/>
    <x v="0"/>
    <x v="0"/>
    <x v="2"/>
  </r>
  <r>
    <s v="WO-1021"/>
    <s v="EQ-101"/>
    <s v="Gas Turbine A-101"/>
    <x v="2"/>
    <s v="Critical"/>
    <x v="0"/>
    <s v="2025-08-05"/>
    <s v="2025-08-05 21:44"/>
    <s v="2025-08-05 21:44"/>
    <s v="2025-08-06 05:15"/>
    <n v="2.8"/>
    <n v="270776.59999999998"/>
    <s v="No Failure"/>
    <s v="Chidi Eze"/>
    <s v="Preventive maintenance on Gas Turbine A-101"/>
    <x v="7"/>
    <x v="0"/>
    <x v="2"/>
  </r>
  <r>
    <s v="WO-1022"/>
    <s v="EQ-101"/>
    <s v="Gas Turbine A-101"/>
    <x v="1"/>
    <s v="Critical"/>
    <x v="0"/>
    <s v="2025-10-16"/>
    <s v="2025-10-16 21:44"/>
    <s v="2025-10-16 21:44"/>
    <s v="2025-10-17 12:47"/>
    <n v="11.3"/>
    <n v="473235.20000000001"/>
    <s v="Leakage"/>
    <s v="John Okafor"/>
    <s v="Corrective maintenance on Gas Turbine A-101"/>
    <x v="4"/>
    <x v="0"/>
    <x v="1"/>
  </r>
  <r>
    <s v="WO-1023"/>
    <s v="EQ-101"/>
    <s v="Gas Turbine A-101"/>
    <x v="0"/>
    <s v="High"/>
    <x v="0"/>
    <s v="2025-04-08"/>
    <s v="2025-04-08 21:44"/>
    <s v="2025-04-08 21:44"/>
    <s v="2025-04-09 00:47"/>
    <n v="2.7"/>
    <n v="89977.02"/>
    <s v="No Failure"/>
    <s v="Chidi Eze"/>
    <s v="Inspection maintenance on Gas Turbine A-101"/>
    <x v="3"/>
    <x v="0"/>
    <x v="0"/>
  </r>
  <r>
    <s v="WO-1024"/>
    <s v="EQ-101"/>
    <s v="Gas Turbine A-101"/>
    <x v="0"/>
    <s v="Low"/>
    <x v="2"/>
    <s v="2025-04-22"/>
    <s v="2025-04-22 21:44"/>
    <m/>
    <m/>
    <n v="0"/>
    <n v="0"/>
    <m/>
    <s v="Tunde Adeleke"/>
    <s v="Inspection maintenance on Gas Turbine A-101"/>
    <x v="3"/>
    <x v="2"/>
    <x v="0"/>
  </r>
  <r>
    <s v="WO-1025"/>
    <s v="EQ-101"/>
    <s v="Gas Turbine A-101"/>
    <x v="2"/>
    <s v="Medium"/>
    <x v="0"/>
    <s v="2025-06-10"/>
    <s v="2025-06-10 21:44"/>
    <s v="2025-06-10 21:44"/>
    <s v="2025-06-11 07:34"/>
    <n v="9.4"/>
    <n v="112041.81"/>
    <s v="No Failure"/>
    <s v="Chidi Eze"/>
    <s v="Preventive maintenance on Gas Turbine A-101"/>
    <x v="11"/>
    <x v="0"/>
    <x v="2"/>
  </r>
  <r>
    <s v="WO-1026"/>
    <s v="EQ-101"/>
    <s v="Gas Turbine A-101"/>
    <x v="3"/>
    <s v="High"/>
    <x v="1"/>
    <s v="2025-07-05"/>
    <s v="2025-07-05 21:44"/>
    <m/>
    <m/>
    <n v="0"/>
    <n v="0"/>
    <m/>
    <s v="Zainab Yusuf"/>
    <s v="Breakdown maintenance on Gas Turbine A-101"/>
    <x v="5"/>
    <x v="1"/>
    <x v="3"/>
  </r>
  <r>
    <s v="WO-1027"/>
    <s v="EQ-101"/>
    <s v="Gas Turbine A-101"/>
    <x v="2"/>
    <s v="High"/>
    <x v="0"/>
    <s v="2025-04-17"/>
    <s v="2025-04-17 21:44"/>
    <s v="2025-04-17 21:44"/>
    <s v="2025-04-18 01:58"/>
    <n v="4.8"/>
    <n v="67355.19"/>
    <s v="No Failure"/>
    <s v="Emeka Okonkwo"/>
    <s v="Preventive maintenance on Gas Turbine A-101"/>
    <x v="3"/>
    <x v="0"/>
    <x v="2"/>
  </r>
  <r>
    <s v="WO-1028"/>
    <s v="EQ-101"/>
    <s v="Gas Turbine A-101"/>
    <x v="2"/>
    <s v="Medium"/>
    <x v="3"/>
    <s v="2025-09-08"/>
    <s v="2025-09-08 21:44"/>
    <m/>
    <m/>
    <n v="0"/>
    <n v="0"/>
    <m/>
    <s v="John Okafor"/>
    <s v="Preventive maintenance on Gas Turbine A-101"/>
    <x v="6"/>
    <x v="3"/>
    <x v="2"/>
  </r>
  <r>
    <s v="WO-1029"/>
    <s v="EQ-101"/>
    <s v="Gas Turbine A-101"/>
    <x v="2"/>
    <s v="High"/>
    <x v="2"/>
    <s v="2025-05-04"/>
    <s v="2025-05-04 21:44"/>
    <m/>
    <m/>
    <n v="0"/>
    <n v="0"/>
    <m/>
    <s v="Amina Ibrahim"/>
    <s v="Preventive maintenance on Gas Turbine A-101"/>
    <x v="8"/>
    <x v="2"/>
    <x v="2"/>
  </r>
  <r>
    <s v="WO-1030"/>
    <s v="EQ-101"/>
    <s v="Gas Turbine A-101"/>
    <x v="1"/>
    <s v="Critical"/>
    <x v="3"/>
    <s v="2025-05-31"/>
    <s v="2025-05-31 21:44"/>
    <m/>
    <m/>
    <n v="0"/>
    <n v="0"/>
    <m/>
    <s v="Fatima Bello"/>
    <s v="Corrective maintenance on Gas Turbine A-101"/>
    <x v="8"/>
    <x v="3"/>
    <x v="1"/>
  </r>
  <r>
    <s v="WO-1031"/>
    <s v="EQ-101"/>
    <s v="Gas Turbine A-101"/>
    <x v="2"/>
    <s v="Low"/>
    <x v="0"/>
    <s v="2025-12-19"/>
    <s v="2025-12-19 21:44"/>
    <s v="2025-12-19 21:44"/>
    <s v="2025-12-20 04:06"/>
    <n v="8.9"/>
    <n v="285065.78000000003"/>
    <s v="No Failure"/>
    <s v="Fatima Bello"/>
    <s v="Preventive maintenance on Gas Turbine A-101"/>
    <x v="2"/>
    <x v="0"/>
    <x v="2"/>
  </r>
  <r>
    <s v="WO-1032"/>
    <s v="EQ-101"/>
    <s v="Gas Turbine A-101"/>
    <x v="2"/>
    <s v="Medium"/>
    <x v="1"/>
    <s v="2025-01-26"/>
    <s v="2025-01-26 21:44"/>
    <m/>
    <m/>
    <n v="0"/>
    <n v="0"/>
    <m/>
    <s v="Amina Ibrahim"/>
    <s v="Preventive maintenance on Gas Turbine A-101"/>
    <x v="0"/>
    <x v="1"/>
    <x v="2"/>
  </r>
  <r>
    <s v="WO-1033"/>
    <s v="EQ-101"/>
    <s v="Gas Turbine A-101"/>
    <x v="3"/>
    <s v="Medium"/>
    <x v="0"/>
    <s v="2025-09-07"/>
    <s v="2025-09-07 21:44"/>
    <s v="2025-09-07 21:44"/>
    <s v="2025-09-08 18:07"/>
    <n v="19.8"/>
    <n v="276372.68"/>
    <s v="Overheating"/>
    <s v="Tunde Adeleke"/>
    <s v="Breakdown maintenance on Gas Turbine A-101"/>
    <x v="6"/>
    <x v="0"/>
    <x v="3"/>
  </r>
  <r>
    <s v="WO-1034"/>
    <s v="EQ-101"/>
    <s v="Gas Turbine A-101"/>
    <x v="1"/>
    <s v="Medium"/>
    <x v="0"/>
    <s v="2025-12-03"/>
    <s v="2025-12-03 21:44"/>
    <s v="2025-12-03 21:44"/>
    <s v="2025-12-04 16:42"/>
    <n v="12.1"/>
    <n v="433490.07"/>
    <s v="Electrical Fault"/>
    <s v="Emeka Okonkwo"/>
    <s v="Corrective maintenance on Gas Turbine A-101"/>
    <x v="2"/>
    <x v="0"/>
    <x v="1"/>
  </r>
  <r>
    <s v="WO-1035"/>
    <s v="EQ-101"/>
    <s v="Gas Turbine A-101"/>
    <x v="2"/>
    <s v="High"/>
    <x v="0"/>
    <s v="2025-07-30"/>
    <s v="2025-07-30 21:44"/>
    <s v="2025-07-30 21:44"/>
    <s v="2025-07-31 07:36"/>
    <n v="6.4"/>
    <n v="218906.81"/>
    <s v="No Failure"/>
    <s v="Zainab Yusuf"/>
    <s v="Preventive maintenance on Gas Turbine A-101"/>
    <x v="5"/>
    <x v="0"/>
    <x v="2"/>
  </r>
  <r>
    <s v="WO-1036"/>
    <s v="EQ-101"/>
    <s v="Gas Turbine A-101"/>
    <x v="3"/>
    <s v="Medium"/>
    <x v="0"/>
    <s v="2025-11-24"/>
    <s v="2025-11-24 21:44"/>
    <s v="2025-11-24 21:44"/>
    <s v="2025-11-25 09:08"/>
    <n v="21.4"/>
    <n v="691054.07999999996"/>
    <s v="Corrosion"/>
    <s v="Fatima Bello"/>
    <s v="Breakdown maintenance on Gas Turbine A-101"/>
    <x v="9"/>
    <x v="0"/>
    <x v="3"/>
  </r>
  <r>
    <s v="WO-1037"/>
    <s v="EQ-101"/>
    <s v="Gas Turbine A-101"/>
    <x v="1"/>
    <s v="Low"/>
    <x v="0"/>
    <s v="2025-04-02"/>
    <s v="2025-04-02 21:44"/>
    <s v="2025-04-02 21:44"/>
    <s v="2025-04-03 04:41"/>
    <n v="16.2"/>
    <n v="407395.74"/>
    <s v="Vibration"/>
    <s v="Zainab Yusuf"/>
    <s v="Corrective maintenance on Gas Turbine A-101"/>
    <x v="3"/>
    <x v="0"/>
    <x v="1"/>
  </r>
  <r>
    <s v="WO-1038"/>
    <s v="EQ-101"/>
    <s v="Gas Turbine A-101"/>
    <x v="2"/>
    <s v="High"/>
    <x v="0"/>
    <s v="2025-11-09"/>
    <s v="2025-11-09 21:44"/>
    <s v="2025-11-09 21:44"/>
    <s v="2025-11-10 05:30"/>
    <n v="6"/>
    <n v="86892.84"/>
    <s v="No Failure"/>
    <s v="John Okafor"/>
    <s v="Preventive maintenance on Gas Turbine A-101"/>
    <x v="9"/>
    <x v="0"/>
    <x v="2"/>
  </r>
  <r>
    <s v="WO-1039"/>
    <s v="EQ-101"/>
    <s v="Gas Turbine A-101"/>
    <x v="0"/>
    <s v="Low"/>
    <x v="0"/>
    <s v="2025-02-14"/>
    <s v="2025-02-14 21:44"/>
    <s v="2025-02-14 21:44"/>
    <s v="2025-02-15 01:04"/>
    <n v="3.1"/>
    <n v="57163.99"/>
    <s v="No Failure"/>
    <s v="Fatima Bello"/>
    <s v="Inspection maintenance on Gas Turbine A-101"/>
    <x v="10"/>
    <x v="0"/>
    <x v="0"/>
  </r>
  <r>
    <s v="WO-1040"/>
    <s v="EQ-101"/>
    <s v="Gas Turbine A-101"/>
    <x v="0"/>
    <s v="Medium"/>
    <x v="0"/>
    <s v="2025-02-22"/>
    <s v="2025-02-22 21:44"/>
    <s v="2025-02-22 21:44"/>
    <s v="2025-02-23 00:06"/>
    <n v="4"/>
    <n v="67636.19"/>
    <s v="No Failure"/>
    <s v="Zainab Yusuf"/>
    <s v="Inspection maintenance on Gas Turbine A-101"/>
    <x v="10"/>
    <x v="0"/>
    <x v="0"/>
  </r>
  <r>
    <s v="WO-1041"/>
    <s v="EQ-101"/>
    <s v="Gas Turbine A-101"/>
    <x v="1"/>
    <s v="Medium"/>
    <x v="1"/>
    <s v="2025-09-06"/>
    <s v="2025-09-06 21:44"/>
    <m/>
    <m/>
    <n v="0"/>
    <n v="0"/>
    <m/>
    <s v="Chidi Eze"/>
    <s v="Corrective maintenance on Gas Turbine A-101"/>
    <x v="6"/>
    <x v="1"/>
    <x v="1"/>
  </r>
  <r>
    <s v="WO-1042"/>
    <s v="EQ-101"/>
    <s v="Gas Turbine A-101"/>
    <x v="3"/>
    <s v="Medium"/>
    <x v="0"/>
    <s v="2025-08-09"/>
    <s v="2025-08-09 21:44"/>
    <s v="2025-08-09 21:44"/>
    <s v="2025-08-10 16:06"/>
    <n v="38.6"/>
    <n v="512779.89"/>
    <s v="Control System Error"/>
    <s v="Fatima Bello"/>
    <s v="Breakdown maintenance on Gas Turbine A-101"/>
    <x v="7"/>
    <x v="0"/>
    <x v="3"/>
  </r>
  <r>
    <s v="WO-1043"/>
    <s v="EQ-102"/>
    <s v="Centrifugal Pump A-102"/>
    <x v="2"/>
    <s v="High"/>
    <x v="0"/>
    <s v="2025-12-22"/>
    <s v="2025-12-22 21:44"/>
    <s v="2025-12-22 21:44"/>
    <s v="2025-12-23 02:36"/>
    <n v="7.4"/>
    <n v="84593.52"/>
    <s v="No Failure"/>
    <s v="Fatima Bello"/>
    <s v="Preventive maintenance on Centrifugal Pump A-102"/>
    <x v="2"/>
    <x v="0"/>
    <x v="2"/>
  </r>
  <r>
    <s v="WO-1044"/>
    <s v="EQ-102"/>
    <s v="Centrifugal Pump A-102"/>
    <x v="2"/>
    <s v="Medium"/>
    <x v="0"/>
    <s v="2025-03-10"/>
    <s v="2025-03-10 21:44"/>
    <s v="2025-03-10 21:44"/>
    <s v="2025-03-11 06:48"/>
    <n v="7.4"/>
    <n v="153943.56"/>
    <s v="No Failure"/>
    <s v="Fatima Bello"/>
    <s v="Preventive maintenance on Centrifugal Pump A-102"/>
    <x v="1"/>
    <x v="0"/>
    <x v="2"/>
  </r>
  <r>
    <s v="WO-1045"/>
    <s v="EQ-102"/>
    <s v="Centrifugal Pump A-102"/>
    <x v="3"/>
    <s v="Low"/>
    <x v="0"/>
    <s v="2025-10-17"/>
    <s v="2025-10-17 21:44"/>
    <s v="2025-10-17 21:44"/>
    <s v="2025-10-19 19:35"/>
    <n v="31"/>
    <n v="486187.84"/>
    <s v="Electrical Fault"/>
    <s v="Aisha Mohammed"/>
    <s v="Breakdown maintenance on Centrifugal Pump A-102"/>
    <x v="4"/>
    <x v="0"/>
    <x v="3"/>
  </r>
  <r>
    <s v="WO-1046"/>
    <s v="EQ-102"/>
    <s v="Centrifugal Pump A-102"/>
    <x v="2"/>
    <s v="Medium"/>
    <x v="2"/>
    <s v="2025-07-09"/>
    <s v="2025-07-09 21:44"/>
    <m/>
    <m/>
    <n v="0"/>
    <n v="0"/>
    <m/>
    <s v="Fatima Bello"/>
    <s v="Preventive maintenance on Centrifugal Pump A-102"/>
    <x v="5"/>
    <x v="2"/>
    <x v="2"/>
  </r>
  <r>
    <s v="WO-1047"/>
    <s v="EQ-102"/>
    <s v="Centrifugal Pump A-102"/>
    <x v="2"/>
    <s v="High"/>
    <x v="0"/>
    <s v="2025-05-10"/>
    <s v="2025-05-10 21:44"/>
    <s v="2025-05-10 21:44"/>
    <s v="2025-05-11 04:06"/>
    <n v="8.8000000000000007"/>
    <n v="151079.17000000001"/>
    <s v="No Failure"/>
    <s v="Chidi Eze"/>
    <s v="Preventive maintenance on Centrifugal Pump A-102"/>
    <x v="8"/>
    <x v="0"/>
    <x v="2"/>
  </r>
  <r>
    <s v="WO-1048"/>
    <s v="EQ-102"/>
    <s v="Centrifugal Pump A-102"/>
    <x v="3"/>
    <s v="Medium"/>
    <x v="1"/>
    <s v="2025-11-05"/>
    <s v="2025-11-05 21:44"/>
    <m/>
    <m/>
    <n v="0"/>
    <n v="0"/>
    <m/>
    <s v="John Okafor"/>
    <s v="Breakdown maintenance on Centrifugal Pump A-102"/>
    <x v="9"/>
    <x v="1"/>
    <x v="3"/>
  </r>
  <r>
    <s v="WO-1049"/>
    <s v="EQ-102"/>
    <s v="Centrifugal Pump A-102"/>
    <x v="2"/>
    <s v="Critical"/>
    <x v="0"/>
    <s v="2025-07-29"/>
    <s v="2025-07-29 21:44"/>
    <s v="2025-07-29 21:44"/>
    <s v="2025-07-30 01:06"/>
    <n v="5.8"/>
    <n v="102915.07"/>
    <s v="No Failure"/>
    <s v="Aisha Mohammed"/>
    <s v="Preventive maintenance on Centrifugal Pump A-102"/>
    <x v="5"/>
    <x v="0"/>
    <x v="2"/>
  </r>
  <r>
    <s v="WO-1050"/>
    <s v="EQ-102"/>
    <s v="Centrifugal Pump A-102"/>
    <x v="2"/>
    <s v="Medium"/>
    <x v="2"/>
    <s v="2025-07-04"/>
    <s v="2025-07-04 21:44"/>
    <m/>
    <m/>
    <n v="0"/>
    <n v="0"/>
    <m/>
    <s v="Amina Ibrahim"/>
    <s v="Preventive maintenance on Centrifugal Pump A-102"/>
    <x v="5"/>
    <x v="2"/>
    <x v="2"/>
  </r>
  <r>
    <s v="WO-1051"/>
    <s v="EQ-102"/>
    <s v="Centrifugal Pump A-102"/>
    <x v="2"/>
    <s v="High"/>
    <x v="2"/>
    <s v="2025-09-24"/>
    <s v="2025-09-24 21:44"/>
    <m/>
    <m/>
    <n v="0"/>
    <n v="0"/>
    <m/>
    <s v="Amina Ibrahim"/>
    <s v="Preventive maintenance on Centrifugal Pump A-102"/>
    <x v="6"/>
    <x v="2"/>
    <x v="2"/>
  </r>
  <r>
    <s v="WO-1052"/>
    <s v="EQ-102"/>
    <s v="Centrifugal Pump A-102"/>
    <x v="3"/>
    <s v="High"/>
    <x v="2"/>
    <s v="2025-01-11"/>
    <s v="2025-01-11 21:44"/>
    <m/>
    <m/>
    <n v="0"/>
    <n v="0"/>
    <m/>
    <s v="John Okafor"/>
    <s v="Breakdown maintenance on Centrifugal Pump A-102"/>
    <x v="0"/>
    <x v="2"/>
    <x v="3"/>
  </r>
  <r>
    <s v="WO-1053"/>
    <s v="EQ-102"/>
    <s v="Centrifugal Pump A-102"/>
    <x v="1"/>
    <s v="Low"/>
    <x v="0"/>
    <s v="2025-02-24"/>
    <s v="2025-02-24 21:44"/>
    <s v="2025-02-24 21:44"/>
    <s v="2025-02-25 11:12"/>
    <n v="13.3"/>
    <n v="202497.48"/>
    <s v="Vibration"/>
    <s v="Aisha Mohammed"/>
    <s v="Corrective maintenance on Centrifugal Pump A-102"/>
    <x v="10"/>
    <x v="0"/>
    <x v="1"/>
  </r>
  <r>
    <s v="WO-1054"/>
    <s v="EQ-102"/>
    <s v="Centrifugal Pump A-102"/>
    <x v="2"/>
    <s v="Medium"/>
    <x v="0"/>
    <s v="2025-10-28"/>
    <s v="2025-10-28 21:44"/>
    <s v="2025-10-28 21:44"/>
    <s v="2025-10-29 09:22"/>
    <n v="3.6"/>
    <n v="127759.73"/>
    <s v="No Failure"/>
    <s v="John Okafor"/>
    <s v="Preventive maintenance on Centrifugal Pump A-102"/>
    <x v="4"/>
    <x v="0"/>
    <x v="2"/>
  </r>
  <r>
    <s v="WO-1055"/>
    <s v="EQ-102"/>
    <s v="Centrifugal Pump A-102"/>
    <x v="0"/>
    <s v="High"/>
    <x v="2"/>
    <s v="2025-10-12"/>
    <s v="2025-10-12 21:44"/>
    <m/>
    <m/>
    <n v="0"/>
    <n v="0"/>
    <m/>
    <s v="Fatima Bello"/>
    <s v="Inspection maintenance on Centrifugal Pump A-102"/>
    <x v="4"/>
    <x v="2"/>
    <x v="0"/>
  </r>
  <r>
    <s v="WO-1056"/>
    <s v="EQ-102"/>
    <s v="Centrifugal Pump A-102"/>
    <x v="2"/>
    <s v="Medium"/>
    <x v="0"/>
    <s v="2025-12-10"/>
    <s v="2025-12-10 21:44"/>
    <s v="2025-12-10 21:44"/>
    <s v="2025-12-11 08:03"/>
    <n v="5"/>
    <n v="221064.76"/>
    <s v="No Failure"/>
    <s v="Amina Ibrahim"/>
    <s v="Preventive maintenance on Centrifugal Pump A-102"/>
    <x v="2"/>
    <x v="0"/>
    <x v="2"/>
  </r>
  <r>
    <s v="WO-1057"/>
    <s v="EQ-102"/>
    <s v="Centrifugal Pump A-102"/>
    <x v="3"/>
    <s v="High"/>
    <x v="0"/>
    <s v="2025-01-12"/>
    <s v="2025-01-12 21:44"/>
    <s v="2025-01-12 21:44"/>
    <s v="2025-01-13 19:38"/>
    <n v="28.2"/>
    <n v="404738.7"/>
    <s v="Calibration Drift"/>
    <s v="Tunde Adeleke"/>
    <s v="Breakdown maintenance on Centrifugal Pump A-102"/>
    <x v="0"/>
    <x v="0"/>
    <x v="3"/>
  </r>
  <r>
    <s v="WO-1058"/>
    <s v="EQ-102"/>
    <s v="Centrifugal Pump A-102"/>
    <x v="3"/>
    <s v="Low"/>
    <x v="0"/>
    <s v="2025-07-31"/>
    <s v="2025-07-31 21:44"/>
    <s v="2025-07-31 21:44"/>
    <s v="2025-08-02 20:10"/>
    <n v="36.299999999999997"/>
    <n v="461292.29"/>
    <s v="Bearing Wear"/>
    <s v="Emeka Okonkwo"/>
    <s v="Breakdown maintenance on Centrifugal Pump A-102"/>
    <x v="5"/>
    <x v="0"/>
    <x v="3"/>
  </r>
  <r>
    <s v="WO-1059"/>
    <s v="EQ-102"/>
    <s v="Centrifugal Pump A-102"/>
    <x v="1"/>
    <s v="Medium"/>
    <x v="0"/>
    <s v="2025-08-26"/>
    <s v="2025-08-26 21:44"/>
    <s v="2025-08-26 21:44"/>
    <s v="2025-08-27 11:02"/>
    <n v="10.4"/>
    <n v="198198.07"/>
    <s v="Normal Wear"/>
    <s v="Amina Ibrahim"/>
    <s v="Corrective maintenance on Centrifugal Pump A-102"/>
    <x v="7"/>
    <x v="0"/>
    <x v="1"/>
  </r>
  <r>
    <s v="WO-1060"/>
    <s v="EQ-102"/>
    <s v="Centrifugal Pump A-102"/>
    <x v="2"/>
    <s v="Medium"/>
    <x v="0"/>
    <s v="2025-08-09"/>
    <s v="2025-08-09 21:44"/>
    <s v="2025-08-09 21:44"/>
    <s v="2025-08-10 02:11"/>
    <n v="5.8"/>
    <n v="57175"/>
    <s v="No Failure"/>
    <s v="Aisha Mohammed"/>
    <s v="Preventive maintenance on Centrifugal Pump A-102"/>
    <x v="7"/>
    <x v="0"/>
    <x v="2"/>
  </r>
  <r>
    <s v="WO-1061"/>
    <s v="EQ-102"/>
    <s v="Centrifugal Pump A-102"/>
    <x v="2"/>
    <s v="High"/>
    <x v="0"/>
    <s v="2025-04-09"/>
    <s v="2025-04-09 21:44"/>
    <s v="2025-04-09 21:44"/>
    <s v="2025-04-10 03:17"/>
    <n v="8"/>
    <n v="270026.84000000003"/>
    <s v="No Failure"/>
    <s v="John Okafor"/>
    <s v="Preventive maintenance on Centrifugal Pump A-102"/>
    <x v="3"/>
    <x v="0"/>
    <x v="2"/>
  </r>
  <r>
    <s v="WO-1062"/>
    <s v="EQ-103"/>
    <s v="Storage Tank A-103"/>
    <x v="0"/>
    <s v="Medium"/>
    <x v="0"/>
    <s v="2025-02-03"/>
    <s v="2025-02-03 21:44"/>
    <s v="2025-02-03 21:44"/>
    <s v="2025-02-03 23:28"/>
    <n v="1.7"/>
    <n v="58087.45"/>
    <s v="No Failure"/>
    <s v="Zainab Yusuf"/>
    <s v="Inspection maintenance on Storage Tank A-103"/>
    <x v="10"/>
    <x v="0"/>
    <x v="0"/>
  </r>
  <r>
    <s v="WO-1063"/>
    <s v="EQ-103"/>
    <s v="Storage Tank A-103"/>
    <x v="2"/>
    <s v="Medium"/>
    <x v="0"/>
    <s v="2024-12-30"/>
    <s v="2024-12-30 21:44"/>
    <s v="2024-12-30 21:44"/>
    <s v="2024-12-31 00:40"/>
    <n v="5.0999999999999996"/>
    <n v="195388.9"/>
    <s v="No Failure"/>
    <s v="Zainab Yusuf"/>
    <s v="Preventive maintenance on Storage Tank A-103"/>
    <x v="12"/>
    <x v="0"/>
    <x v="2"/>
  </r>
  <r>
    <s v="WO-1064"/>
    <s v="EQ-103"/>
    <s v="Storage Tank A-103"/>
    <x v="1"/>
    <s v="High"/>
    <x v="0"/>
    <s v="2025-07-27"/>
    <s v="2025-07-27 21:44"/>
    <s v="2025-07-27 21:44"/>
    <s v="2025-07-28 21:40"/>
    <n v="13.1"/>
    <n v="222649.2"/>
    <s v="Leakage"/>
    <s v="Fatima Bello"/>
    <s v="Corrective maintenance on Storage Tank A-103"/>
    <x v="5"/>
    <x v="0"/>
    <x v="1"/>
  </r>
  <r>
    <s v="WO-1065"/>
    <s v="EQ-103"/>
    <s v="Storage Tank A-103"/>
    <x v="2"/>
    <s v="Low"/>
    <x v="0"/>
    <s v="2025-03-30"/>
    <s v="2025-03-30 21:44"/>
    <s v="2025-03-30 21:44"/>
    <s v="2025-03-31 02:54"/>
    <n v="8.9"/>
    <n v="97885.24"/>
    <s v="No Failure"/>
    <s v="Zainab Yusuf"/>
    <s v="Preventive maintenance on Storage Tank A-103"/>
    <x v="1"/>
    <x v="0"/>
    <x v="2"/>
  </r>
  <r>
    <s v="WO-1066"/>
    <s v="EQ-103"/>
    <s v="Storage Tank A-103"/>
    <x v="2"/>
    <s v="High"/>
    <x v="0"/>
    <s v="2025-10-19"/>
    <s v="2025-10-19 21:44"/>
    <s v="2025-10-19 21:44"/>
    <s v="2025-10-20 09:30"/>
    <n v="3"/>
    <n v="98529.39"/>
    <s v="No Failure"/>
    <s v="Fatima Bello"/>
    <s v="Preventive maintenance on Storage Tank A-103"/>
    <x v="4"/>
    <x v="0"/>
    <x v="2"/>
  </r>
  <r>
    <s v="WO-1067"/>
    <s v="EQ-103"/>
    <s v="Storage Tank A-103"/>
    <x v="2"/>
    <s v="High"/>
    <x v="0"/>
    <s v="2025-05-25"/>
    <s v="2025-05-25 21:44"/>
    <s v="2025-05-25 21:44"/>
    <s v="2025-05-25 23:53"/>
    <n v="11.7"/>
    <n v="188339.74"/>
    <s v="No Failure"/>
    <s v="Chidi Eze"/>
    <s v="Preventive maintenance on Storage Tank A-103"/>
    <x v="8"/>
    <x v="0"/>
    <x v="2"/>
  </r>
  <r>
    <s v="WO-1068"/>
    <s v="EQ-103"/>
    <s v="Storage Tank A-103"/>
    <x v="1"/>
    <s v="Medium"/>
    <x v="0"/>
    <s v="2025-02-12"/>
    <s v="2025-02-12 21:44"/>
    <s v="2025-02-12 21:44"/>
    <s v="2025-02-13 19:11"/>
    <n v="12.8"/>
    <n v="173745.47"/>
    <s v="Control System Error"/>
    <s v="John Okafor"/>
    <s v="Corrective maintenance on Storage Tank A-103"/>
    <x v="10"/>
    <x v="0"/>
    <x v="1"/>
  </r>
  <r>
    <s v="WO-1069"/>
    <s v="EQ-103"/>
    <s v="Storage Tank A-103"/>
    <x v="2"/>
    <s v="Medium"/>
    <x v="0"/>
    <s v="2025-08-23"/>
    <s v="2025-08-23 21:44"/>
    <s v="2025-08-23 21:44"/>
    <s v="2025-08-24 00:53"/>
    <n v="7.8"/>
    <n v="221612.75"/>
    <s v="No Failure"/>
    <s v="Chidi Eze"/>
    <s v="Preventive maintenance on Storage Tank A-103"/>
    <x v="7"/>
    <x v="0"/>
    <x v="2"/>
  </r>
  <r>
    <s v="WO-1070"/>
    <s v="EQ-103"/>
    <s v="Storage Tank A-103"/>
    <x v="2"/>
    <s v="High"/>
    <x v="0"/>
    <s v="2025-10-06"/>
    <s v="2025-10-06 21:44"/>
    <s v="2025-10-06 21:44"/>
    <s v="2025-10-07 09:14"/>
    <n v="7.6"/>
    <n v="154043.51"/>
    <s v="No Failure"/>
    <s v="Fatima Bello"/>
    <s v="Preventive maintenance on Storage Tank A-103"/>
    <x v="4"/>
    <x v="0"/>
    <x v="2"/>
  </r>
  <r>
    <s v="WO-1071"/>
    <s v="EQ-103"/>
    <s v="Storage Tank A-103"/>
    <x v="3"/>
    <s v="Medium"/>
    <x v="0"/>
    <s v="2025-08-09"/>
    <s v="2025-08-09 21:44"/>
    <s v="2025-08-09 21:44"/>
    <s v="2025-08-11 18:05"/>
    <n v="25.2"/>
    <n v="541177.68000000005"/>
    <s v="Electrical Fault"/>
    <s v="John Okafor"/>
    <s v="Breakdown maintenance on Storage Tank A-103"/>
    <x v="7"/>
    <x v="0"/>
    <x v="3"/>
  </r>
  <r>
    <s v="WO-1072"/>
    <s v="EQ-103"/>
    <s v="Storage Tank A-103"/>
    <x v="1"/>
    <s v="High"/>
    <x v="0"/>
    <s v="2025-02-10"/>
    <s v="2025-02-10 21:44"/>
    <s v="2025-02-10 21:44"/>
    <s v="2025-02-11 20:41"/>
    <n v="17.2"/>
    <n v="162822.84"/>
    <s v="No Failure"/>
    <s v="Chidi Eze"/>
    <s v="Corrective maintenance on Storage Tank A-103"/>
    <x v="10"/>
    <x v="0"/>
    <x v="1"/>
  </r>
  <r>
    <s v="WO-1073"/>
    <s v="EQ-103"/>
    <s v="Storage Tank A-103"/>
    <x v="1"/>
    <s v="Medium"/>
    <x v="0"/>
    <s v="2024-12-23"/>
    <s v="2024-12-23 21:44"/>
    <s v="2024-12-23 21:44"/>
    <s v="2024-12-24 09:54"/>
    <n v="4.7"/>
    <n v="215241.96"/>
    <s v="Corrosion"/>
    <s v="Emeka Okonkwo"/>
    <s v="Corrective maintenance on Storage Tank A-103"/>
    <x v="12"/>
    <x v="0"/>
    <x v="1"/>
  </r>
  <r>
    <s v="WO-1074"/>
    <s v="EQ-103"/>
    <s v="Storage Tank A-103"/>
    <x v="3"/>
    <s v="Medium"/>
    <x v="1"/>
    <s v="2025-01-27"/>
    <s v="2025-01-27 21:44"/>
    <m/>
    <m/>
    <n v="0"/>
    <n v="0"/>
    <m/>
    <s v="Fatima Bello"/>
    <s v="Breakdown maintenance on Storage Tank A-103"/>
    <x v="0"/>
    <x v="1"/>
    <x v="3"/>
  </r>
  <r>
    <s v="WO-1075"/>
    <s v="EQ-103"/>
    <s v="Storage Tank A-103"/>
    <x v="2"/>
    <s v="High"/>
    <x v="0"/>
    <s v="2025-09-26"/>
    <s v="2025-09-26 21:44"/>
    <s v="2025-09-26 21:44"/>
    <s v="2025-09-27 01:59"/>
    <n v="3.4"/>
    <n v="64909.51"/>
    <s v="No Failure"/>
    <s v="Emeka Okonkwo"/>
    <s v="Preventive maintenance on Storage Tank A-103"/>
    <x v="6"/>
    <x v="0"/>
    <x v="2"/>
  </r>
  <r>
    <s v="WO-1076"/>
    <s v="EQ-103"/>
    <s v="Storage Tank A-103"/>
    <x v="1"/>
    <s v="High"/>
    <x v="0"/>
    <s v="2025-05-18"/>
    <s v="2025-05-18 21:44"/>
    <s v="2025-05-18 21:44"/>
    <s v="2025-05-19 10:31"/>
    <n v="12.1"/>
    <n v="208898.48"/>
    <s v="Calibration Drift"/>
    <s v="Zainab Yusuf"/>
    <s v="Corrective maintenance on Storage Tank A-103"/>
    <x v="8"/>
    <x v="0"/>
    <x v="1"/>
  </r>
  <r>
    <s v="WO-1077"/>
    <s v="EQ-103"/>
    <s v="Storage Tank A-103"/>
    <x v="2"/>
    <s v="High"/>
    <x v="0"/>
    <s v="2025-10-24"/>
    <s v="2025-10-24 21:44"/>
    <s v="2025-10-24 21:44"/>
    <s v="2025-10-25 00:08"/>
    <n v="4.5"/>
    <n v="72831.72"/>
    <s v="No Failure"/>
    <s v="John Okafor"/>
    <s v="Preventive maintenance on Storage Tank A-103"/>
    <x v="4"/>
    <x v="0"/>
    <x v="2"/>
  </r>
  <r>
    <s v="WO-1078"/>
    <s v="EQ-103"/>
    <s v="Storage Tank A-103"/>
    <x v="4"/>
    <s v="Medium"/>
    <x v="0"/>
    <s v="2025-12-01"/>
    <s v="2025-12-01 21:44"/>
    <s v="2025-12-01 21:44"/>
    <s v="2025-12-06 04:36"/>
    <n v="40.799999999999997"/>
    <n v="1018963.84"/>
    <s v="Normal Wear"/>
    <s v="Zainab Yusuf"/>
    <s v="Overhaul maintenance on Storage Tank A-103"/>
    <x v="2"/>
    <x v="0"/>
    <x v="4"/>
  </r>
  <r>
    <s v="WO-1079"/>
    <s v="EQ-103"/>
    <s v="Storage Tank A-103"/>
    <x v="0"/>
    <s v="Low"/>
    <x v="0"/>
    <s v="2025-03-24"/>
    <s v="2025-03-24 21:44"/>
    <s v="2025-03-24 21:44"/>
    <s v="2025-03-25 01:44"/>
    <n v="3.9"/>
    <n v="57600.83"/>
    <s v="No Failure"/>
    <s v="Tunde Adeleke"/>
    <s v="Inspection maintenance on Storage Tank A-103"/>
    <x v="1"/>
    <x v="0"/>
    <x v="0"/>
  </r>
  <r>
    <s v="WO-1080"/>
    <s v="EQ-103"/>
    <s v="Storage Tank A-103"/>
    <x v="2"/>
    <s v="Medium"/>
    <x v="0"/>
    <s v="2025-11-30"/>
    <s v="2025-11-30 21:44"/>
    <s v="2025-11-30 21:44"/>
    <s v="2025-12-01 00:47"/>
    <n v="7"/>
    <n v="215645.88"/>
    <s v="No Failure"/>
    <s v="Tunde Adeleke"/>
    <s v="Preventive maintenance on Storage Tank A-103"/>
    <x v="9"/>
    <x v="0"/>
    <x v="2"/>
  </r>
  <r>
    <s v="WO-1081"/>
    <s v="EQ-103"/>
    <s v="Storage Tank A-103"/>
    <x v="3"/>
    <s v="High"/>
    <x v="0"/>
    <s v="2025-01-09"/>
    <s v="2025-01-09 21:44"/>
    <s v="2025-01-09 21:44"/>
    <s v="2025-01-10 23:56"/>
    <n v="46.8"/>
    <n v="442505.03"/>
    <s v="Normal Wear"/>
    <s v="John Okafor"/>
    <s v="Breakdown maintenance on Storage Tank A-103"/>
    <x v="0"/>
    <x v="0"/>
    <x v="3"/>
  </r>
  <r>
    <s v="WO-1082"/>
    <s v="EQ-103"/>
    <s v="Storage Tank A-103"/>
    <x v="1"/>
    <s v="High"/>
    <x v="0"/>
    <s v="2025-08-15"/>
    <s v="2025-08-15 21:44"/>
    <s v="2025-08-15 21:44"/>
    <s v="2025-08-16 10:00"/>
    <n v="19.100000000000001"/>
    <n v="350163.5"/>
    <s v="Normal Wear"/>
    <s v="John Okafor"/>
    <s v="Corrective maintenance on Storage Tank A-103"/>
    <x v="7"/>
    <x v="0"/>
    <x v="1"/>
  </r>
  <r>
    <s v="WO-1083"/>
    <s v="EQ-103"/>
    <s v="Storage Tank A-103"/>
    <x v="2"/>
    <s v="Low"/>
    <x v="0"/>
    <s v="2025-09-29"/>
    <s v="2025-09-29 21:44"/>
    <s v="2025-09-29 21:44"/>
    <s v="2025-09-30 01:03"/>
    <n v="6.8"/>
    <n v="57217.36"/>
    <s v="No Failure"/>
    <s v="Fatima Bello"/>
    <s v="Preventive maintenance on Storage Tank A-103"/>
    <x v="6"/>
    <x v="0"/>
    <x v="2"/>
  </r>
  <r>
    <s v="WO-1084"/>
    <s v="EQ-103"/>
    <s v="Storage Tank A-103"/>
    <x v="3"/>
    <s v="High"/>
    <x v="0"/>
    <s v="2025-09-30"/>
    <s v="2025-09-30 21:44"/>
    <s v="2025-09-30 21:44"/>
    <s v="2025-10-01 06:17"/>
    <n v="41.7"/>
    <n v="268076.67"/>
    <s v="Overheating"/>
    <s v="Amina Ibrahim"/>
    <s v="Breakdown maintenance on Storage Tank A-103"/>
    <x v="6"/>
    <x v="0"/>
    <x v="3"/>
  </r>
  <r>
    <s v="WO-1085"/>
    <s v="EQ-104"/>
    <s v="Control Valve A-104"/>
    <x v="3"/>
    <s v="Low"/>
    <x v="0"/>
    <s v="2025-05-20"/>
    <s v="2025-05-20 21:44"/>
    <s v="2025-05-20 21:44"/>
    <s v="2025-05-22 02:06"/>
    <n v="47.2"/>
    <n v="346238.54"/>
    <s v="Control System Error"/>
    <s v="Chidi Eze"/>
    <s v="Breakdown maintenance on Control Valve A-104"/>
    <x v="8"/>
    <x v="0"/>
    <x v="3"/>
  </r>
  <r>
    <s v="WO-1086"/>
    <s v="EQ-104"/>
    <s v="Control Valve A-104"/>
    <x v="2"/>
    <s v="Low"/>
    <x v="1"/>
    <s v="2025-10-24"/>
    <s v="2025-10-24 21:44"/>
    <m/>
    <m/>
    <n v="0"/>
    <n v="0"/>
    <m/>
    <s v="Emeka Okonkwo"/>
    <s v="Preventive maintenance on Control Valve A-104"/>
    <x v="4"/>
    <x v="1"/>
    <x v="2"/>
  </r>
  <r>
    <s v="WO-1087"/>
    <s v="EQ-104"/>
    <s v="Control Valve A-104"/>
    <x v="3"/>
    <s v="Low"/>
    <x v="0"/>
    <s v="2025-06-14"/>
    <s v="2025-06-14 21:44"/>
    <s v="2025-06-14 21:44"/>
    <s v="2025-06-16 19:06"/>
    <n v="19.3"/>
    <n v="379133.51"/>
    <s v="Electrical Fault"/>
    <s v="Zainab Yusuf"/>
    <s v="Breakdown maintenance on Control Valve A-104"/>
    <x v="11"/>
    <x v="0"/>
    <x v="3"/>
  </r>
  <r>
    <s v="WO-1088"/>
    <s v="EQ-104"/>
    <s v="Control Valve A-104"/>
    <x v="0"/>
    <s v="Medium"/>
    <x v="0"/>
    <s v="2025-08-07"/>
    <s v="2025-08-07 21:44"/>
    <s v="2025-08-07 21:44"/>
    <s v="2025-08-08 00:21"/>
    <n v="2.6"/>
    <n v="56427.57"/>
    <s v="No Failure"/>
    <s v="Aisha Mohammed"/>
    <s v="Inspection maintenance on Control Valve A-104"/>
    <x v="7"/>
    <x v="0"/>
    <x v="0"/>
  </r>
  <r>
    <s v="WO-1089"/>
    <s v="EQ-104"/>
    <s v="Control Valve A-104"/>
    <x v="0"/>
    <s v="Low"/>
    <x v="0"/>
    <s v="2025-12-14"/>
    <s v="2025-12-14 21:44"/>
    <s v="2025-12-14 21:44"/>
    <s v="2025-12-14 23:27"/>
    <n v="2.2000000000000002"/>
    <n v="45454.11"/>
    <s v="No Failure"/>
    <s v="Zainab Yusuf"/>
    <s v="Inspection maintenance on Control Valve A-104"/>
    <x v="2"/>
    <x v="0"/>
    <x v="0"/>
  </r>
  <r>
    <s v="WO-1090"/>
    <s v="EQ-104"/>
    <s v="Control Valve A-104"/>
    <x v="3"/>
    <s v="Medium"/>
    <x v="0"/>
    <s v="2025-07-07"/>
    <s v="2025-07-07 21:44"/>
    <s v="2025-07-07 21:44"/>
    <s v="2025-07-09 21:16"/>
    <n v="14.1"/>
    <n v="778894.66"/>
    <s v="Electrical Fault"/>
    <s v="Chidi Eze"/>
    <s v="Breakdown maintenance on Control Valve A-104"/>
    <x v="5"/>
    <x v="0"/>
    <x v="3"/>
  </r>
  <r>
    <s v="WO-1091"/>
    <s v="EQ-104"/>
    <s v="Control Valve A-104"/>
    <x v="1"/>
    <s v="Medium"/>
    <x v="1"/>
    <s v="2025-06-09"/>
    <s v="2025-06-09 21:44"/>
    <m/>
    <m/>
    <n v="0"/>
    <n v="0"/>
    <m/>
    <s v="Zainab Yusuf"/>
    <s v="Corrective maintenance on Control Valve A-104"/>
    <x v="11"/>
    <x v="1"/>
    <x v="1"/>
  </r>
  <r>
    <s v="WO-1092"/>
    <s v="EQ-104"/>
    <s v="Control Valve A-104"/>
    <x v="2"/>
    <s v="High"/>
    <x v="0"/>
    <s v="2025-03-05"/>
    <s v="2025-03-05 21:44"/>
    <s v="2025-03-05 21:44"/>
    <s v="2025-03-06 03:50"/>
    <n v="6.7"/>
    <n v="292300.90999999997"/>
    <s v="No Failure"/>
    <s v="Aisha Mohammed"/>
    <s v="Preventive maintenance on Control Valve A-104"/>
    <x v="1"/>
    <x v="0"/>
    <x v="2"/>
  </r>
  <r>
    <s v="WO-1093"/>
    <s v="EQ-105"/>
    <s v="Electric Motor A-105"/>
    <x v="1"/>
    <s v="High"/>
    <x v="0"/>
    <s v="2025-12-02"/>
    <s v="2025-12-02 21:44"/>
    <s v="2025-12-02 21:44"/>
    <s v="2025-12-03 18:55"/>
    <n v="18.399999999999999"/>
    <n v="403760.72"/>
    <s v="Leakage"/>
    <s v="John Okafor"/>
    <s v="Corrective maintenance on Electric Motor A-105"/>
    <x v="2"/>
    <x v="0"/>
    <x v="1"/>
  </r>
  <r>
    <s v="WO-1094"/>
    <s v="EQ-105"/>
    <s v="Electric Motor A-105"/>
    <x v="1"/>
    <s v="High"/>
    <x v="0"/>
    <s v="2025-11-10"/>
    <s v="2025-11-10 21:44"/>
    <s v="2025-11-10 21:44"/>
    <s v="2025-11-11 15:25"/>
    <n v="5.8"/>
    <n v="491335.09"/>
    <s v="Vibration"/>
    <s v="Amina Ibrahim"/>
    <s v="Corrective maintenance on Electric Motor A-105"/>
    <x v="9"/>
    <x v="0"/>
    <x v="1"/>
  </r>
  <r>
    <s v="WO-1095"/>
    <s v="EQ-105"/>
    <s v="Electric Motor A-105"/>
    <x v="2"/>
    <s v="High"/>
    <x v="0"/>
    <s v="2025-12-12"/>
    <s v="2025-12-12 21:44"/>
    <s v="2025-12-12 21:44"/>
    <s v="2025-12-13 02:44"/>
    <n v="2.6"/>
    <n v="139615.84"/>
    <s v="No Failure"/>
    <s v="Tunde Adeleke"/>
    <s v="Preventive maintenance on Electric Motor A-105"/>
    <x v="2"/>
    <x v="0"/>
    <x v="2"/>
  </r>
  <r>
    <s v="WO-1096"/>
    <s v="EQ-105"/>
    <s v="Electric Motor A-105"/>
    <x v="2"/>
    <s v="High"/>
    <x v="0"/>
    <s v="2025-09-19"/>
    <s v="2025-09-19 21:44"/>
    <s v="2025-09-19 21:44"/>
    <s v="2025-09-20 03:51"/>
    <n v="3.8"/>
    <n v="202372.95"/>
    <s v="No Failure"/>
    <s v="Tunde Adeleke"/>
    <s v="Preventive maintenance on Electric Motor A-105"/>
    <x v="6"/>
    <x v="0"/>
    <x v="2"/>
  </r>
  <r>
    <s v="WO-1097"/>
    <s v="EQ-105"/>
    <s v="Electric Motor A-105"/>
    <x v="1"/>
    <s v="Medium"/>
    <x v="0"/>
    <s v="2025-09-02"/>
    <s v="2025-09-02 21:44"/>
    <s v="2025-09-02 21:44"/>
    <s v="2025-09-03 20:00"/>
    <n v="9.1"/>
    <n v="202130.68"/>
    <s v="Vibration"/>
    <s v="John Okafor"/>
    <s v="Corrective maintenance on Electric Motor A-105"/>
    <x v="6"/>
    <x v="0"/>
    <x v="1"/>
  </r>
  <r>
    <s v="WO-1098"/>
    <s v="EQ-105"/>
    <s v="Electric Motor A-105"/>
    <x v="0"/>
    <s v="High"/>
    <x v="0"/>
    <s v="2025-08-17"/>
    <s v="2025-08-17 21:44"/>
    <s v="2025-08-17 21:44"/>
    <s v="2025-08-18 01:26"/>
    <n v="2.2999999999999998"/>
    <n v="47645.25"/>
    <s v="No Failure"/>
    <s v="Emeka Okonkwo"/>
    <s v="Inspection maintenance on Electric Motor A-105"/>
    <x v="7"/>
    <x v="0"/>
    <x v="0"/>
  </r>
  <r>
    <s v="WO-1099"/>
    <s v="EQ-105"/>
    <s v="Electric Motor A-105"/>
    <x v="1"/>
    <s v="High"/>
    <x v="0"/>
    <s v="2025-12-10"/>
    <s v="2025-12-10 21:44"/>
    <s v="2025-12-10 21:44"/>
    <s v="2025-12-11 06:44"/>
    <n v="11.7"/>
    <n v="293283.21999999997"/>
    <s v="Electrical Fault"/>
    <s v="Fatima Bello"/>
    <s v="Corrective maintenance on Electric Motor A-105"/>
    <x v="2"/>
    <x v="0"/>
    <x v="1"/>
  </r>
  <r>
    <s v="WO-1100"/>
    <s v="EQ-105"/>
    <s v="Electric Motor A-105"/>
    <x v="2"/>
    <s v="High"/>
    <x v="3"/>
    <s v="2025-06-23"/>
    <s v="2025-06-23 21:44"/>
    <m/>
    <m/>
    <n v="0"/>
    <n v="0"/>
    <m/>
    <s v="Tunde Adeleke"/>
    <s v="Preventive maintenance on Electric Motor A-105"/>
    <x v="11"/>
    <x v="3"/>
    <x v="2"/>
  </r>
  <r>
    <s v="WO-1101"/>
    <s v="EQ-105"/>
    <s v="Electric Motor A-105"/>
    <x v="2"/>
    <s v="Low"/>
    <x v="0"/>
    <s v="2025-10-07"/>
    <s v="2025-10-07 21:44"/>
    <s v="2025-10-07 21:44"/>
    <s v="2025-10-08 08:23"/>
    <n v="11.1"/>
    <n v="236293.04"/>
    <s v="No Failure"/>
    <s v="Emeka Okonkwo"/>
    <s v="Preventive maintenance on Electric Motor A-105"/>
    <x v="4"/>
    <x v="0"/>
    <x v="2"/>
  </r>
  <r>
    <s v="WO-1102"/>
    <s v="EQ-105"/>
    <s v="Electric Motor A-105"/>
    <x v="3"/>
    <s v="High"/>
    <x v="0"/>
    <s v="2025-10-28"/>
    <s v="2025-10-28 21:44"/>
    <s v="2025-10-28 21:44"/>
    <s v="2025-10-30 13:49"/>
    <n v="18"/>
    <n v="653346.39"/>
    <s v="Vibration"/>
    <s v="Chidi Eze"/>
    <s v="Breakdown maintenance on Electric Motor A-105"/>
    <x v="4"/>
    <x v="0"/>
    <x v="3"/>
  </r>
  <r>
    <s v="WO-1103"/>
    <s v="EQ-105"/>
    <s v="Electric Motor A-105"/>
    <x v="1"/>
    <s v="Critical"/>
    <x v="0"/>
    <s v="2025-11-17"/>
    <s v="2025-11-17 21:44"/>
    <s v="2025-11-17 21:44"/>
    <s v="2025-11-18 02:32"/>
    <n v="11.3"/>
    <n v="152564.72"/>
    <s v="Lubrication Issue"/>
    <s v="Emeka Okonkwo"/>
    <s v="Corrective maintenance on Electric Motor A-105"/>
    <x v="9"/>
    <x v="0"/>
    <x v="1"/>
  </r>
  <r>
    <s v="WO-1104"/>
    <s v="EQ-105"/>
    <s v="Electric Motor A-105"/>
    <x v="2"/>
    <s v="Medium"/>
    <x v="0"/>
    <s v="2025-07-22"/>
    <s v="2025-07-22 21:44"/>
    <s v="2025-07-22 21:44"/>
    <s v="2025-07-23 01:30"/>
    <n v="11.7"/>
    <n v="182713.09"/>
    <s v="No Failure"/>
    <s v="Emeka Okonkwo"/>
    <s v="Preventive maintenance on Electric Motor A-105"/>
    <x v="5"/>
    <x v="0"/>
    <x v="2"/>
  </r>
  <r>
    <s v="WO-1105"/>
    <s v="EQ-105"/>
    <s v="Electric Motor A-105"/>
    <x v="3"/>
    <s v="Low"/>
    <x v="0"/>
    <s v="2025-08-25"/>
    <s v="2025-08-25 21:44"/>
    <s v="2025-08-25 21:44"/>
    <s v="2025-08-27 20:26"/>
    <n v="40.200000000000003"/>
    <n v="480998.83"/>
    <s v="Overheating"/>
    <s v="Amina Ibrahim"/>
    <s v="Breakdown maintenance on Electric Motor A-105"/>
    <x v="7"/>
    <x v="0"/>
    <x v="3"/>
  </r>
  <r>
    <s v="WO-1106"/>
    <s v="EQ-105"/>
    <s v="Electric Motor A-105"/>
    <x v="2"/>
    <s v="Low"/>
    <x v="0"/>
    <s v="2025-04-16"/>
    <s v="2025-04-16 21:44"/>
    <s v="2025-04-16 21:44"/>
    <s v="2025-04-17 08:20"/>
    <n v="11.7"/>
    <n v="251146.91"/>
    <s v="No Failure"/>
    <s v="Aisha Mohammed"/>
    <s v="Preventive maintenance on Electric Motor A-105"/>
    <x v="3"/>
    <x v="0"/>
    <x v="2"/>
  </r>
  <r>
    <s v="WO-1107"/>
    <s v="EQ-105"/>
    <s v="Electric Motor A-105"/>
    <x v="2"/>
    <s v="Medium"/>
    <x v="0"/>
    <s v="2025-07-12"/>
    <s v="2025-07-12 21:44"/>
    <s v="2025-07-12 21:44"/>
    <s v="2025-07-12 23:53"/>
    <n v="8.6999999999999993"/>
    <n v="218085.2"/>
    <s v="No Failure"/>
    <s v="Tunde Adeleke"/>
    <s v="Preventive maintenance on Electric Motor A-105"/>
    <x v="5"/>
    <x v="0"/>
    <x v="2"/>
  </r>
  <r>
    <s v="WO-1108"/>
    <s v="EQ-105"/>
    <s v="Electric Motor A-105"/>
    <x v="3"/>
    <s v="Medium"/>
    <x v="0"/>
    <s v="2025-02-15"/>
    <s v="2025-02-15 21:44"/>
    <s v="2025-02-15 21:44"/>
    <s v="2025-02-17 08:44"/>
    <n v="45.7"/>
    <n v="396803.77"/>
    <s v="Leakage"/>
    <s v="Fatima Bello"/>
    <s v="Breakdown maintenance on Electric Motor A-105"/>
    <x v="10"/>
    <x v="0"/>
    <x v="3"/>
  </r>
  <r>
    <s v="WO-1109"/>
    <s v="EQ-106"/>
    <s v="Turbine A-106"/>
    <x v="2"/>
    <s v="Medium"/>
    <x v="0"/>
    <s v="2025-08-16"/>
    <s v="2025-08-16 21:44"/>
    <s v="2025-08-16 21:44"/>
    <s v="2025-08-17 08:50"/>
    <n v="3.4"/>
    <n v="286565.38"/>
    <s v="No Failure"/>
    <s v="Emeka Okonkwo"/>
    <s v="Preventive maintenance on Turbine A-106"/>
    <x v="7"/>
    <x v="0"/>
    <x v="2"/>
  </r>
  <r>
    <s v="WO-1110"/>
    <s v="EQ-106"/>
    <s v="Turbine A-106"/>
    <x v="4"/>
    <s v="Critical"/>
    <x v="1"/>
    <s v="2025-02-19"/>
    <s v="2025-02-19 21:44"/>
    <m/>
    <m/>
    <n v="0"/>
    <n v="0"/>
    <m/>
    <s v="Zainab Yusuf"/>
    <s v="Overhaul maintenance on Turbine A-106"/>
    <x v="10"/>
    <x v="1"/>
    <x v="4"/>
  </r>
  <r>
    <s v="WO-1111"/>
    <s v="EQ-106"/>
    <s v="Turbine A-106"/>
    <x v="2"/>
    <s v="Medium"/>
    <x v="0"/>
    <s v="2025-12-13"/>
    <s v="2025-12-13 21:44"/>
    <s v="2025-12-13 21:44"/>
    <s v="2025-12-14 09:12"/>
    <n v="3.5"/>
    <n v="153721.13"/>
    <s v="No Failure"/>
    <s v="Amina Ibrahim"/>
    <s v="Preventive maintenance on Turbine A-106"/>
    <x v="2"/>
    <x v="0"/>
    <x v="2"/>
  </r>
  <r>
    <s v="WO-1112"/>
    <s v="EQ-106"/>
    <s v="Turbine A-106"/>
    <x v="3"/>
    <s v="Medium"/>
    <x v="0"/>
    <s v="2025-07-18"/>
    <s v="2025-07-18 21:44"/>
    <s v="2025-07-18 21:44"/>
    <s v="2025-07-20 19:18"/>
    <n v="16.7"/>
    <n v="466817.52"/>
    <s v="Calibration Drift"/>
    <s v="Fatima Bello"/>
    <s v="Breakdown maintenance on Turbine A-106"/>
    <x v="5"/>
    <x v="0"/>
    <x v="3"/>
  </r>
  <r>
    <s v="WO-1113"/>
    <s v="EQ-106"/>
    <s v="Turbine A-106"/>
    <x v="0"/>
    <s v="Low"/>
    <x v="0"/>
    <s v="2025-02-10"/>
    <s v="2025-02-10 21:44"/>
    <s v="2025-02-10 21:44"/>
    <s v="2025-02-11 01:41"/>
    <n v="2.9"/>
    <n v="24844.01"/>
    <s v="No Failure"/>
    <s v="Emeka Okonkwo"/>
    <s v="Inspection maintenance on Turbine A-106"/>
    <x v="10"/>
    <x v="0"/>
    <x v="0"/>
  </r>
  <r>
    <s v="WO-1114"/>
    <s v="EQ-106"/>
    <s v="Turbine A-106"/>
    <x v="2"/>
    <s v="Critical"/>
    <x v="0"/>
    <s v="2025-02-22"/>
    <s v="2025-02-22 21:44"/>
    <s v="2025-02-22 21:44"/>
    <s v="2025-02-23 09:14"/>
    <n v="4.0999999999999996"/>
    <n v="209873.23"/>
    <s v="No Failure"/>
    <s v="John Okafor"/>
    <s v="Preventive maintenance on Turbine A-106"/>
    <x v="10"/>
    <x v="0"/>
    <x v="2"/>
  </r>
  <r>
    <s v="WO-1115"/>
    <s v="EQ-106"/>
    <s v="Turbine A-106"/>
    <x v="2"/>
    <s v="Medium"/>
    <x v="0"/>
    <s v="2025-06-10"/>
    <s v="2025-06-10 21:44"/>
    <s v="2025-06-10 21:44"/>
    <s v="2025-06-11 02:10"/>
    <n v="2.7"/>
    <n v="241289.34"/>
    <s v="No Failure"/>
    <s v="Fatima Bello"/>
    <s v="Preventive maintenance on Turbine A-106"/>
    <x v="11"/>
    <x v="0"/>
    <x v="2"/>
  </r>
  <r>
    <s v="WO-1116"/>
    <s v="EQ-106"/>
    <s v="Turbine A-106"/>
    <x v="1"/>
    <s v="Medium"/>
    <x v="0"/>
    <s v="2025-06-08"/>
    <s v="2025-06-08 21:44"/>
    <s v="2025-06-08 21:44"/>
    <s v="2025-06-09 17:13"/>
    <n v="9.5"/>
    <n v="493611.25"/>
    <s v="Vibration"/>
    <s v="Chidi Eze"/>
    <s v="Corrective maintenance on Turbine A-106"/>
    <x v="11"/>
    <x v="0"/>
    <x v="1"/>
  </r>
  <r>
    <s v="WO-1117"/>
    <s v="EQ-106"/>
    <s v="Turbine A-106"/>
    <x v="1"/>
    <s v="Critical"/>
    <x v="0"/>
    <s v="2025-02-16"/>
    <s v="2025-02-16 21:44"/>
    <s v="2025-02-16 21:44"/>
    <s v="2025-02-17 14:57"/>
    <n v="19.8"/>
    <n v="195172.64"/>
    <s v="Corrosion"/>
    <s v="Aisha Mohammed"/>
    <s v="Corrective maintenance on Turbine A-106"/>
    <x v="10"/>
    <x v="0"/>
    <x v="1"/>
  </r>
  <r>
    <s v="WO-1118"/>
    <s v="EQ-106"/>
    <s v="Turbine A-106"/>
    <x v="2"/>
    <s v="Medium"/>
    <x v="0"/>
    <s v="2025-05-06"/>
    <s v="2025-05-06 21:44"/>
    <s v="2025-05-06 21:44"/>
    <s v="2025-05-07 00:16"/>
    <n v="9.5"/>
    <n v="169061.49"/>
    <s v="No Failure"/>
    <s v="Aisha Mohammed"/>
    <s v="Preventive maintenance on Turbine A-106"/>
    <x v="8"/>
    <x v="0"/>
    <x v="2"/>
  </r>
  <r>
    <s v="WO-1119"/>
    <s v="EQ-106"/>
    <s v="Turbine A-106"/>
    <x v="1"/>
    <s v="Critical"/>
    <x v="2"/>
    <s v="2025-08-10"/>
    <s v="2025-08-10 21:44"/>
    <m/>
    <m/>
    <n v="0"/>
    <n v="0"/>
    <m/>
    <s v="Emeka Okonkwo"/>
    <s v="Corrective maintenance on Turbine A-106"/>
    <x v="7"/>
    <x v="2"/>
    <x v="1"/>
  </r>
  <r>
    <s v="WO-1120"/>
    <s v="EQ-106"/>
    <s v="Turbine A-106"/>
    <x v="2"/>
    <s v="Medium"/>
    <x v="0"/>
    <s v="2025-01-06"/>
    <s v="2025-01-06 21:44"/>
    <s v="2025-01-06 21:44"/>
    <s v="2025-01-07 00:21"/>
    <n v="8.9"/>
    <n v="172567.21"/>
    <s v="No Failure"/>
    <s v="Zainab Yusuf"/>
    <s v="Preventive maintenance on Turbine A-106"/>
    <x v="0"/>
    <x v="0"/>
    <x v="2"/>
  </r>
  <r>
    <s v="WO-1121"/>
    <s v="EQ-106"/>
    <s v="Turbine A-106"/>
    <x v="2"/>
    <s v="Critical"/>
    <x v="0"/>
    <s v="2025-02-01"/>
    <s v="2025-02-01 21:44"/>
    <s v="2025-02-01 21:44"/>
    <s v="2025-02-02 02:57"/>
    <n v="8.1999999999999993"/>
    <n v="196341.17"/>
    <s v="No Failure"/>
    <s v="Aisha Mohammed"/>
    <s v="Preventive maintenance on Turbine A-106"/>
    <x v="10"/>
    <x v="0"/>
    <x v="2"/>
  </r>
  <r>
    <s v="WO-1122"/>
    <s v="EQ-106"/>
    <s v="Turbine A-106"/>
    <x v="2"/>
    <s v="Medium"/>
    <x v="0"/>
    <s v="2025-10-23"/>
    <s v="2025-10-23 21:44"/>
    <s v="2025-10-23 21:44"/>
    <s v="2025-10-24 05:03"/>
    <n v="3"/>
    <n v="225444.85"/>
    <s v="No Failure"/>
    <s v="Fatima Bello"/>
    <s v="Preventive maintenance on Turbine A-106"/>
    <x v="4"/>
    <x v="0"/>
    <x v="2"/>
  </r>
  <r>
    <s v="WO-1123"/>
    <s v="EQ-106"/>
    <s v="Turbine A-106"/>
    <x v="2"/>
    <s v="High"/>
    <x v="0"/>
    <s v="2025-04-17"/>
    <s v="2025-04-17 21:44"/>
    <s v="2025-04-17 21:44"/>
    <s v="2025-04-18 03:53"/>
    <n v="9.3000000000000007"/>
    <n v="128137.09"/>
    <s v="No Failure"/>
    <s v="Aisha Mohammed"/>
    <s v="Preventive maintenance on Turbine A-106"/>
    <x v="3"/>
    <x v="0"/>
    <x v="2"/>
  </r>
  <r>
    <s v="WO-1124"/>
    <s v="EQ-106"/>
    <s v="Turbine A-106"/>
    <x v="1"/>
    <s v="Critical"/>
    <x v="0"/>
    <s v="2025-03-10"/>
    <s v="2025-03-10 21:44"/>
    <s v="2025-03-10 21:44"/>
    <s v="2025-03-11 15:28"/>
    <n v="5.7"/>
    <n v="272750.61"/>
    <s v="Leakage"/>
    <s v="Aisha Mohammed"/>
    <s v="Corrective maintenance on Turbine A-106"/>
    <x v="1"/>
    <x v="0"/>
    <x v="1"/>
  </r>
  <r>
    <s v="WO-1125"/>
    <s v="EQ-106"/>
    <s v="Turbine A-106"/>
    <x v="3"/>
    <s v="High"/>
    <x v="0"/>
    <s v="2025-01-21"/>
    <s v="2025-01-21 21:44"/>
    <s v="2025-01-21 21:44"/>
    <s v="2025-01-23 05:12"/>
    <n v="12.9"/>
    <n v="412158.85"/>
    <s v="Normal Wear"/>
    <s v="Tunde Adeleke"/>
    <s v="Breakdown maintenance on Turbine A-106"/>
    <x v="0"/>
    <x v="0"/>
    <x v="3"/>
  </r>
  <r>
    <s v="WO-1126"/>
    <s v="EQ-106"/>
    <s v="Turbine A-106"/>
    <x v="0"/>
    <s v="High"/>
    <x v="0"/>
    <s v="2025-01-17"/>
    <s v="2025-01-17 21:44"/>
    <s v="2025-01-17 21:44"/>
    <s v="2025-01-18 01:39"/>
    <n v="2.7"/>
    <n v="37019.1"/>
    <s v="No Failure"/>
    <s v="Zainab Yusuf"/>
    <s v="Inspection maintenance on Turbine A-106"/>
    <x v="0"/>
    <x v="0"/>
    <x v="0"/>
  </r>
  <r>
    <s v="WO-1127"/>
    <s v="EQ-106"/>
    <s v="Turbine A-106"/>
    <x v="2"/>
    <s v="Critical"/>
    <x v="0"/>
    <s v="2025-02-15"/>
    <s v="2025-02-15 21:44"/>
    <s v="2025-02-15 21:44"/>
    <s v="2025-02-16 03:14"/>
    <n v="4.8"/>
    <n v="106539.77"/>
    <s v="No Failure"/>
    <s v="Tunde Adeleke"/>
    <s v="Preventive maintenance on Turbine A-106"/>
    <x v="10"/>
    <x v="0"/>
    <x v="2"/>
  </r>
  <r>
    <s v="WO-1128"/>
    <s v="EQ-106"/>
    <s v="Turbine A-106"/>
    <x v="3"/>
    <s v="Medium"/>
    <x v="0"/>
    <s v="2025-11-01"/>
    <s v="2025-11-01 21:44"/>
    <s v="2025-11-01 21:44"/>
    <s v="2025-11-03 08:44"/>
    <n v="34.299999999999997"/>
    <n v="616082.71"/>
    <s v="Calibration Drift"/>
    <s v="John Okafor"/>
    <s v="Breakdown maintenance on Turbine A-106"/>
    <x v="9"/>
    <x v="0"/>
    <x v="3"/>
  </r>
  <r>
    <s v="WO-1129"/>
    <s v="EQ-106"/>
    <s v="Turbine A-106"/>
    <x v="2"/>
    <s v="High"/>
    <x v="1"/>
    <s v="2025-12-16"/>
    <s v="2025-12-16 21:44"/>
    <m/>
    <m/>
    <n v="0"/>
    <n v="0"/>
    <m/>
    <s v="Chidi Eze"/>
    <s v="Preventive maintenance on Turbine A-106"/>
    <x v="2"/>
    <x v="1"/>
    <x v="2"/>
  </r>
  <r>
    <s v="WO-1130"/>
    <s v="EQ-106"/>
    <s v="Turbine A-106"/>
    <x v="0"/>
    <s v="Medium"/>
    <x v="0"/>
    <s v="2025-10-07"/>
    <s v="2025-10-07 21:44"/>
    <s v="2025-10-07 21:44"/>
    <s v="2025-10-08 00:43"/>
    <n v="3.9"/>
    <n v="27340.61"/>
    <s v="No Failure"/>
    <s v="Fatima Bello"/>
    <s v="Inspection maintenance on Turbine A-106"/>
    <x v="4"/>
    <x v="0"/>
    <x v="0"/>
  </r>
  <r>
    <s v="WO-1131"/>
    <s v="EQ-106"/>
    <s v="Turbine A-106"/>
    <x v="2"/>
    <s v="Medium"/>
    <x v="0"/>
    <s v="2025-08-11"/>
    <s v="2025-08-11 21:44"/>
    <s v="2025-08-11 21:44"/>
    <s v="2025-08-12 03:09"/>
    <n v="9.8000000000000007"/>
    <n v="191898.39"/>
    <s v="No Failure"/>
    <s v="Amina Ibrahim"/>
    <s v="Preventive maintenance on Turbine A-106"/>
    <x v="7"/>
    <x v="0"/>
    <x v="2"/>
  </r>
  <r>
    <s v="WO-1132"/>
    <s v="EQ-106"/>
    <s v="Turbine A-106"/>
    <x v="0"/>
    <s v="Medium"/>
    <x v="0"/>
    <s v="2025-03-11"/>
    <s v="2025-03-11 21:44"/>
    <s v="2025-03-11 21:44"/>
    <s v="2025-03-11 23:13"/>
    <n v="1.8"/>
    <n v="72955.100000000006"/>
    <s v="No Failure"/>
    <s v="Zainab Yusuf"/>
    <s v="Inspection maintenance on Turbine A-106"/>
    <x v="1"/>
    <x v="0"/>
    <x v="0"/>
  </r>
  <r>
    <s v="WO-1133"/>
    <s v="EQ-106"/>
    <s v="Turbine A-106"/>
    <x v="1"/>
    <s v="High"/>
    <x v="0"/>
    <s v="2025-05-10"/>
    <s v="2025-05-10 21:44"/>
    <s v="2025-05-10 21:44"/>
    <s v="2025-05-11 06:03"/>
    <n v="6.2"/>
    <n v="371287.16"/>
    <s v="Electrical Fault"/>
    <s v="Zainab Yusuf"/>
    <s v="Corrective maintenance on Turbine A-106"/>
    <x v="8"/>
    <x v="0"/>
    <x v="1"/>
  </r>
  <r>
    <s v="WO-1134"/>
    <s v="EQ-107"/>
    <s v="Centrifugal Pump A-107"/>
    <x v="1"/>
    <s v="Critical"/>
    <x v="0"/>
    <s v="2025-04-13"/>
    <s v="2025-04-13 21:44"/>
    <s v="2025-04-13 21:44"/>
    <s v="2025-04-14 09:39"/>
    <n v="10"/>
    <n v="184493.59"/>
    <s v="Mechanical Seal Failure"/>
    <s v="Chidi Eze"/>
    <s v="Corrective maintenance on Centrifugal Pump A-107"/>
    <x v="3"/>
    <x v="0"/>
    <x v="1"/>
  </r>
  <r>
    <s v="WO-1135"/>
    <s v="EQ-107"/>
    <s v="Centrifugal Pump A-107"/>
    <x v="3"/>
    <s v="Medium"/>
    <x v="0"/>
    <s v="2025-06-07"/>
    <s v="2025-06-07 21:44"/>
    <s v="2025-06-07 21:44"/>
    <s v="2025-06-08 10:32"/>
    <n v="13.2"/>
    <n v="519549.41"/>
    <s v="Overheating"/>
    <s v="Fatima Bello"/>
    <s v="Breakdown maintenance on Centrifugal Pump A-107"/>
    <x v="11"/>
    <x v="0"/>
    <x v="3"/>
  </r>
  <r>
    <s v="WO-1136"/>
    <s v="EQ-107"/>
    <s v="Centrifugal Pump A-107"/>
    <x v="1"/>
    <s v="Critical"/>
    <x v="1"/>
    <s v="2025-06-21"/>
    <s v="2025-06-21 21:44"/>
    <m/>
    <m/>
    <n v="0"/>
    <n v="0"/>
    <m/>
    <s v="John Okafor"/>
    <s v="Corrective maintenance on Centrifugal Pump A-107"/>
    <x v="11"/>
    <x v="1"/>
    <x v="1"/>
  </r>
  <r>
    <s v="WO-1137"/>
    <s v="EQ-107"/>
    <s v="Centrifugal Pump A-107"/>
    <x v="2"/>
    <s v="Medium"/>
    <x v="0"/>
    <s v="2025-01-30"/>
    <s v="2025-01-30 21:44"/>
    <s v="2025-01-30 21:44"/>
    <s v="2025-01-31 08:21"/>
    <n v="9.1"/>
    <n v="154423.49"/>
    <s v="No Failure"/>
    <s v="Amina Ibrahim"/>
    <s v="Preventive maintenance on Centrifugal Pump A-107"/>
    <x v="0"/>
    <x v="0"/>
    <x v="2"/>
  </r>
  <r>
    <s v="WO-1138"/>
    <s v="EQ-107"/>
    <s v="Centrifugal Pump A-107"/>
    <x v="2"/>
    <s v="Medium"/>
    <x v="2"/>
    <s v="2025-06-06"/>
    <s v="2025-06-06 21:44"/>
    <m/>
    <m/>
    <n v="0"/>
    <n v="0"/>
    <m/>
    <s v="Aisha Mohammed"/>
    <s v="Preventive maintenance on Centrifugal Pump A-107"/>
    <x v="11"/>
    <x v="2"/>
    <x v="2"/>
  </r>
  <r>
    <s v="WO-1139"/>
    <s v="EQ-107"/>
    <s v="Centrifugal Pump A-107"/>
    <x v="2"/>
    <s v="Medium"/>
    <x v="0"/>
    <s v="2025-02-14"/>
    <s v="2025-02-14 21:44"/>
    <s v="2025-02-14 21:44"/>
    <s v="2025-02-15 02:10"/>
    <n v="6"/>
    <n v="127568.64"/>
    <s v="No Failure"/>
    <s v="Aisha Mohammed"/>
    <s v="Preventive maintenance on Centrifugal Pump A-107"/>
    <x v="10"/>
    <x v="0"/>
    <x v="2"/>
  </r>
  <r>
    <s v="WO-1140"/>
    <s v="EQ-107"/>
    <s v="Centrifugal Pump A-107"/>
    <x v="2"/>
    <s v="Medium"/>
    <x v="0"/>
    <s v="2025-03-18"/>
    <s v="2025-03-18 21:44"/>
    <s v="2025-03-18 21:44"/>
    <s v="2025-03-19 00:30"/>
    <n v="3.9"/>
    <n v="244057.06"/>
    <s v="No Failure"/>
    <s v="Aisha Mohammed"/>
    <s v="Preventive maintenance on Centrifugal Pump A-107"/>
    <x v="1"/>
    <x v="0"/>
    <x v="2"/>
  </r>
  <r>
    <s v="WO-1141"/>
    <s v="EQ-107"/>
    <s v="Centrifugal Pump A-107"/>
    <x v="3"/>
    <s v="High"/>
    <x v="0"/>
    <s v="2025-03-07"/>
    <s v="2025-03-07 21:44"/>
    <s v="2025-03-07 21:44"/>
    <s v="2025-03-08 15:11"/>
    <n v="32.1"/>
    <n v="656129.18000000005"/>
    <s v="Lubrication Issue"/>
    <s v="Amina Ibrahim"/>
    <s v="Breakdown maintenance on Centrifugal Pump A-107"/>
    <x v="1"/>
    <x v="0"/>
    <x v="3"/>
  </r>
  <r>
    <s v="WO-1142"/>
    <s v="EQ-107"/>
    <s v="Centrifugal Pump A-107"/>
    <x v="2"/>
    <s v="Medium"/>
    <x v="0"/>
    <s v="2025-11-08"/>
    <s v="2025-11-08 21:44"/>
    <s v="2025-11-08 21:44"/>
    <s v="2025-11-09 04:41"/>
    <n v="6.5"/>
    <n v="281038.56"/>
    <s v="No Failure"/>
    <s v="Aisha Mohammed"/>
    <s v="Preventive maintenance on Centrifugal Pump A-107"/>
    <x v="9"/>
    <x v="0"/>
    <x v="2"/>
  </r>
  <r>
    <s v="WO-1143"/>
    <s v="EQ-107"/>
    <s v="Centrifugal Pump A-107"/>
    <x v="0"/>
    <s v="Medium"/>
    <x v="0"/>
    <s v="2025-11-08"/>
    <s v="2025-11-08 21:44"/>
    <s v="2025-11-08 21:44"/>
    <s v="2025-11-08 23:41"/>
    <n v="2.9"/>
    <n v="83706.37"/>
    <s v="No Failure"/>
    <s v="John Okafor"/>
    <s v="Inspection maintenance on Centrifugal Pump A-107"/>
    <x v="9"/>
    <x v="0"/>
    <x v="0"/>
  </r>
  <r>
    <s v="WO-1144"/>
    <s v="EQ-108"/>
    <s v="Control Valve A-108"/>
    <x v="1"/>
    <s v="Low"/>
    <x v="0"/>
    <s v="2025-08-15"/>
    <s v="2025-08-15 21:44"/>
    <s v="2025-08-15 21:44"/>
    <s v="2025-08-16 10:47"/>
    <n v="5.5"/>
    <n v="445700.01"/>
    <s v="Overheating"/>
    <s v="Amina Ibrahim"/>
    <s v="Corrective maintenance on Control Valve A-108"/>
    <x v="7"/>
    <x v="0"/>
    <x v="1"/>
  </r>
  <r>
    <s v="WO-1145"/>
    <s v="EQ-108"/>
    <s v="Control Valve A-108"/>
    <x v="1"/>
    <s v="Medium"/>
    <x v="0"/>
    <s v="2025-07-06"/>
    <s v="2025-07-06 21:44"/>
    <s v="2025-07-06 21:44"/>
    <s v="2025-07-07 10:59"/>
    <n v="21.9"/>
    <n v="279893.48"/>
    <s v="Normal Wear"/>
    <s v="Fatima Bello"/>
    <s v="Corrective maintenance on Control Valve A-108"/>
    <x v="5"/>
    <x v="0"/>
    <x v="1"/>
  </r>
  <r>
    <s v="WO-1146"/>
    <s v="EQ-108"/>
    <s v="Control Valve A-108"/>
    <x v="2"/>
    <s v="Medium"/>
    <x v="2"/>
    <s v="2025-08-22"/>
    <s v="2025-08-22 21:44"/>
    <m/>
    <m/>
    <n v="0"/>
    <n v="0"/>
    <m/>
    <s v="Aisha Mohammed"/>
    <s v="Preventive maintenance on Control Valve A-108"/>
    <x v="7"/>
    <x v="2"/>
    <x v="2"/>
  </r>
  <r>
    <s v="WO-1147"/>
    <s v="EQ-108"/>
    <s v="Control Valve A-108"/>
    <x v="4"/>
    <s v="High"/>
    <x v="0"/>
    <s v="2025-02-03"/>
    <s v="2025-02-03 21:44"/>
    <s v="2025-02-03 21:44"/>
    <s v="2025-02-06 22:10"/>
    <n v="66"/>
    <n v="939421.79"/>
    <s v="Normal Wear"/>
    <s v="Chidi Eze"/>
    <s v="Overhaul maintenance on Control Valve A-108"/>
    <x v="10"/>
    <x v="0"/>
    <x v="4"/>
  </r>
  <r>
    <s v="WO-1148"/>
    <s v="EQ-108"/>
    <s v="Control Valve A-108"/>
    <x v="2"/>
    <s v="Medium"/>
    <x v="0"/>
    <s v="2025-05-15"/>
    <s v="2025-05-15 21:44"/>
    <s v="2025-05-15 21:44"/>
    <s v="2025-05-16 03:37"/>
    <n v="2.5"/>
    <n v="207721.64"/>
    <s v="No Failure"/>
    <s v="Aisha Mohammed"/>
    <s v="Preventive maintenance on Control Valve A-108"/>
    <x v="8"/>
    <x v="0"/>
    <x v="2"/>
  </r>
  <r>
    <s v="WO-1149"/>
    <s v="EQ-109"/>
    <s v="Gas Compressor A-109"/>
    <x v="2"/>
    <s v="Medium"/>
    <x v="0"/>
    <s v="2025-10-03"/>
    <s v="2025-10-03 21:44"/>
    <s v="2025-10-03 21:44"/>
    <s v="2025-10-04 06:31"/>
    <n v="8.6"/>
    <n v="276585.67"/>
    <s v="No Failure"/>
    <s v="Chidi Eze"/>
    <s v="Preventive maintenance on Gas Compressor A-109"/>
    <x v="4"/>
    <x v="0"/>
    <x v="2"/>
  </r>
  <r>
    <s v="WO-1150"/>
    <s v="EQ-109"/>
    <s v="Gas Compressor A-109"/>
    <x v="2"/>
    <s v="High"/>
    <x v="1"/>
    <s v="2025-10-16"/>
    <s v="2025-10-16 21:44"/>
    <m/>
    <m/>
    <n v="0"/>
    <n v="0"/>
    <m/>
    <s v="Tunde Adeleke"/>
    <s v="Preventive maintenance on Gas Compressor A-109"/>
    <x v="4"/>
    <x v="1"/>
    <x v="2"/>
  </r>
  <r>
    <s v="WO-1151"/>
    <s v="EQ-109"/>
    <s v="Gas Compressor A-109"/>
    <x v="2"/>
    <s v="High"/>
    <x v="0"/>
    <s v="2025-12-19"/>
    <s v="2025-12-19 21:44"/>
    <s v="2025-12-19 21:44"/>
    <s v="2025-12-20 09:07"/>
    <n v="9.9"/>
    <n v="253296.2"/>
    <s v="No Failure"/>
    <s v="Amina Ibrahim"/>
    <s v="Preventive maintenance on Gas Compressor A-109"/>
    <x v="2"/>
    <x v="0"/>
    <x v="2"/>
  </r>
  <r>
    <s v="WO-1152"/>
    <s v="EQ-109"/>
    <s v="Gas Compressor A-109"/>
    <x v="1"/>
    <s v="High"/>
    <x v="0"/>
    <s v="2025-09-08"/>
    <s v="2025-09-08 21:44"/>
    <s v="2025-09-08 21:44"/>
    <s v="2025-09-09 08:58"/>
    <n v="8.3000000000000007"/>
    <n v="479067.31"/>
    <s v="Electrical Fault"/>
    <s v="Zainab Yusuf"/>
    <s v="Corrective maintenance on Gas Compressor A-109"/>
    <x v="6"/>
    <x v="0"/>
    <x v="1"/>
  </r>
  <r>
    <s v="WO-1153"/>
    <s v="EQ-109"/>
    <s v="Gas Compressor A-109"/>
    <x v="2"/>
    <s v="Medium"/>
    <x v="0"/>
    <s v="2025-03-02"/>
    <s v="2025-03-02 21:44"/>
    <s v="2025-03-02 21:44"/>
    <s v="2025-03-03 01:17"/>
    <n v="7.1"/>
    <n v="184942.69"/>
    <s v="No Failure"/>
    <s v="John Okafor"/>
    <s v="Preventive maintenance on Gas Compressor A-109"/>
    <x v="1"/>
    <x v="0"/>
    <x v="2"/>
  </r>
  <r>
    <s v="WO-1154"/>
    <s v="EQ-109"/>
    <s v="Gas Compressor A-109"/>
    <x v="1"/>
    <s v="High"/>
    <x v="0"/>
    <s v="2025-02-27"/>
    <s v="2025-02-27 21:44"/>
    <s v="2025-02-27 21:44"/>
    <s v="2025-02-28 13:41"/>
    <n v="17.899999999999999"/>
    <n v="349896.19"/>
    <s v="Calibration Drift"/>
    <s v="Chidi Eze"/>
    <s v="Corrective maintenance on Gas Compressor A-109"/>
    <x v="10"/>
    <x v="0"/>
    <x v="1"/>
  </r>
  <r>
    <s v="WO-1155"/>
    <s v="EQ-109"/>
    <s v="Gas Compressor A-109"/>
    <x v="3"/>
    <s v="Low"/>
    <x v="0"/>
    <s v="2025-07-20"/>
    <s v="2025-07-20 21:44"/>
    <s v="2025-07-20 21:44"/>
    <s v="2025-07-21 20:19"/>
    <n v="32.4"/>
    <n v="651434.69999999995"/>
    <s v="Mechanical Seal Failure"/>
    <s v="Zainab Yusuf"/>
    <s v="Breakdown maintenance on Gas Compressor A-109"/>
    <x v="5"/>
    <x v="0"/>
    <x v="3"/>
  </r>
  <r>
    <s v="WO-1156"/>
    <s v="EQ-109"/>
    <s v="Gas Compressor A-109"/>
    <x v="2"/>
    <s v="Medium"/>
    <x v="0"/>
    <s v="2025-04-23"/>
    <s v="2025-04-23 21:44"/>
    <s v="2025-04-23 21:44"/>
    <s v="2025-04-24 02:50"/>
    <n v="10.4"/>
    <n v="141960.24"/>
    <s v="No Failure"/>
    <s v="Zainab Yusuf"/>
    <s v="Preventive maintenance on Gas Compressor A-109"/>
    <x v="3"/>
    <x v="0"/>
    <x v="2"/>
  </r>
  <r>
    <s v="WO-1157"/>
    <s v="EQ-109"/>
    <s v="Gas Compressor A-109"/>
    <x v="2"/>
    <s v="Medium"/>
    <x v="0"/>
    <s v="2025-05-15"/>
    <s v="2025-05-15 21:44"/>
    <s v="2025-05-15 21:44"/>
    <s v="2025-05-16 07:31"/>
    <n v="3.6"/>
    <n v="99924.43"/>
    <s v="No Failure"/>
    <s v="Chidi Eze"/>
    <s v="Preventive maintenance on Gas Compressor A-109"/>
    <x v="8"/>
    <x v="0"/>
    <x v="2"/>
  </r>
  <r>
    <s v="WO-1158"/>
    <s v="EQ-109"/>
    <s v="Gas Compressor A-109"/>
    <x v="0"/>
    <s v="Medium"/>
    <x v="1"/>
    <s v="2025-01-17"/>
    <s v="2025-01-17 21:44"/>
    <m/>
    <m/>
    <n v="0"/>
    <n v="0"/>
    <m/>
    <s v="Amina Ibrahim"/>
    <s v="Inspection maintenance on Gas Compressor A-109"/>
    <x v="0"/>
    <x v="1"/>
    <x v="0"/>
  </r>
  <r>
    <s v="WO-1159"/>
    <s v="EQ-109"/>
    <s v="Gas Compressor A-109"/>
    <x v="3"/>
    <s v="High"/>
    <x v="0"/>
    <s v="2025-02-23"/>
    <s v="2025-02-23 21:44"/>
    <s v="2025-02-23 21:44"/>
    <s v="2025-02-24 17:08"/>
    <n v="44.2"/>
    <n v="288409.19"/>
    <s v="Normal Wear"/>
    <s v="Tunde Adeleke"/>
    <s v="Breakdown maintenance on Gas Compressor A-109"/>
    <x v="10"/>
    <x v="0"/>
    <x v="3"/>
  </r>
  <r>
    <s v="WO-1160"/>
    <s v="EQ-109"/>
    <s v="Gas Compressor A-109"/>
    <x v="2"/>
    <s v="Low"/>
    <x v="1"/>
    <s v="2025-04-14"/>
    <s v="2025-04-14 21:44"/>
    <m/>
    <m/>
    <n v="0"/>
    <n v="0"/>
    <m/>
    <s v="Tunde Adeleke"/>
    <s v="Preventive maintenance on Gas Compressor A-109"/>
    <x v="3"/>
    <x v="1"/>
    <x v="2"/>
  </r>
  <r>
    <s v="WO-1161"/>
    <s v="EQ-109"/>
    <s v="Gas Compressor A-109"/>
    <x v="2"/>
    <s v="Critical"/>
    <x v="0"/>
    <s v="2025-09-05"/>
    <s v="2025-09-05 21:44"/>
    <s v="2025-09-05 21:44"/>
    <s v="2025-09-06 03:29"/>
    <n v="4.2"/>
    <n v="129671.22"/>
    <s v="No Failure"/>
    <s v="Amina Ibrahim"/>
    <s v="Preventive maintenance on Gas Compressor A-109"/>
    <x v="6"/>
    <x v="0"/>
    <x v="2"/>
  </r>
  <r>
    <s v="WO-1162"/>
    <s v="EQ-109"/>
    <s v="Gas Compressor A-109"/>
    <x v="3"/>
    <s v="High"/>
    <x v="0"/>
    <s v="2025-06-11"/>
    <s v="2025-06-11 21:44"/>
    <s v="2025-06-11 21:44"/>
    <s v="2025-06-13 13:24"/>
    <n v="41.2"/>
    <n v="617643.18999999994"/>
    <s v="Lubrication Issue"/>
    <s v="Chidi Eze"/>
    <s v="Breakdown maintenance on Gas Compressor A-109"/>
    <x v="11"/>
    <x v="0"/>
    <x v="3"/>
  </r>
  <r>
    <s v="WO-1163"/>
    <s v="EQ-109"/>
    <s v="Gas Compressor A-109"/>
    <x v="3"/>
    <s v="Critical"/>
    <x v="1"/>
    <s v="2025-08-08"/>
    <s v="2025-08-08 21:44"/>
    <m/>
    <m/>
    <n v="0"/>
    <n v="0"/>
    <m/>
    <s v="Fatima Bello"/>
    <s v="Breakdown maintenance on Gas Compressor A-109"/>
    <x v="7"/>
    <x v="1"/>
    <x v="3"/>
  </r>
  <r>
    <s v="WO-1164"/>
    <s v="EQ-109"/>
    <s v="Gas Compressor A-109"/>
    <x v="3"/>
    <s v="High"/>
    <x v="0"/>
    <s v="2025-10-29"/>
    <s v="2025-10-29 21:44"/>
    <s v="2025-10-29 21:44"/>
    <s v="2025-10-31 02:51"/>
    <n v="20"/>
    <n v="228649.67"/>
    <s v="Normal Wear"/>
    <s v="Tunde Adeleke"/>
    <s v="Breakdown maintenance on Gas Compressor A-109"/>
    <x v="4"/>
    <x v="0"/>
    <x v="3"/>
  </r>
  <r>
    <s v="WO-1165"/>
    <s v="EQ-110"/>
    <s v="Reactor B-110"/>
    <x v="2"/>
    <s v="Medium"/>
    <x v="0"/>
    <s v="2025-09-03"/>
    <s v="2025-09-03 21:44"/>
    <s v="2025-09-03 21:44"/>
    <s v="2025-09-04 05:42"/>
    <n v="4.4000000000000004"/>
    <n v="85894.21"/>
    <s v="No Failure"/>
    <s v="Tunde Adeleke"/>
    <s v="Preventive maintenance on Reactor B-110"/>
    <x v="6"/>
    <x v="0"/>
    <x v="2"/>
  </r>
  <r>
    <s v="WO-1166"/>
    <s v="EQ-110"/>
    <s v="Reactor B-110"/>
    <x v="2"/>
    <s v="Medium"/>
    <x v="0"/>
    <s v="2025-06-20"/>
    <s v="2025-06-20 21:44"/>
    <s v="2025-06-20 21:44"/>
    <s v="2025-06-21 02:09"/>
    <n v="2.9"/>
    <n v="293663.62"/>
    <s v="No Failure"/>
    <s v="Amina Ibrahim"/>
    <s v="Preventive maintenance on Reactor B-110"/>
    <x v="11"/>
    <x v="0"/>
    <x v="2"/>
  </r>
  <r>
    <s v="WO-1167"/>
    <s v="EQ-110"/>
    <s v="Reactor B-110"/>
    <x v="4"/>
    <s v="Medium"/>
    <x v="3"/>
    <s v="2025-09-26"/>
    <s v="2025-09-26 21:44"/>
    <m/>
    <m/>
    <n v="0"/>
    <n v="0"/>
    <m/>
    <s v="Tunde Adeleke"/>
    <s v="Overhaul maintenance on Reactor B-110"/>
    <x v="6"/>
    <x v="3"/>
    <x v="4"/>
  </r>
  <r>
    <s v="WO-1168"/>
    <s v="EQ-110"/>
    <s v="Reactor B-110"/>
    <x v="0"/>
    <s v="High"/>
    <x v="3"/>
    <s v="2025-01-13"/>
    <s v="2025-01-13 21:44"/>
    <m/>
    <m/>
    <n v="0"/>
    <n v="0"/>
    <m/>
    <s v="John Okafor"/>
    <s v="Inspection maintenance on Reactor B-110"/>
    <x v="0"/>
    <x v="3"/>
    <x v="0"/>
  </r>
  <r>
    <s v="WO-1169"/>
    <s v="EQ-110"/>
    <s v="Reactor B-110"/>
    <x v="2"/>
    <s v="Medium"/>
    <x v="0"/>
    <s v="2025-01-25"/>
    <s v="2025-01-25 21:44"/>
    <s v="2025-01-25 21:44"/>
    <s v="2025-01-26 03:11"/>
    <n v="9.6999999999999993"/>
    <n v="233796.75"/>
    <s v="No Failure"/>
    <s v="Aisha Mohammed"/>
    <s v="Preventive maintenance on Reactor B-110"/>
    <x v="0"/>
    <x v="0"/>
    <x v="2"/>
  </r>
  <r>
    <s v="WO-1170"/>
    <s v="EQ-110"/>
    <s v="Reactor B-110"/>
    <x v="2"/>
    <s v="High"/>
    <x v="0"/>
    <s v="2025-06-20"/>
    <s v="2025-06-20 21:44"/>
    <s v="2025-06-20 21:44"/>
    <s v="2025-06-21 05:12"/>
    <n v="9.8000000000000007"/>
    <n v="166155.72"/>
    <s v="No Failure"/>
    <s v="Zainab Yusuf"/>
    <s v="Preventive maintenance on Reactor B-110"/>
    <x v="11"/>
    <x v="0"/>
    <x v="2"/>
  </r>
  <r>
    <s v="WO-1171"/>
    <s v="EQ-110"/>
    <s v="Reactor B-110"/>
    <x v="1"/>
    <s v="Critical"/>
    <x v="2"/>
    <s v="2025-01-23"/>
    <s v="2025-01-23 21:44"/>
    <m/>
    <m/>
    <n v="0"/>
    <n v="0"/>
    <m/>
    <s v="Fatima Bello"/>
    <s v="Corrective maintenance on Reactor B-110"/>
    <x v="0"/>
    <x v="2"/>
    <x v="1"/>
  </r>
  <r>
    <s v="WO-1172"/>
    <s v="EQ-110"/>
    <s v="Reactor B-110"/>
    <x v="2"/>
    <s v="High"/>
    <x v="0"/>
    <s v="2025-04-03"/>
    <s v="2025-04-03 21:44"/>
    <s v="2025-04-03 21:44"/>
    <s v="2025-04-04 08:36"/>
    <n v="6"/>
    <n v="253851.51999999999"/>
    <s v="No Failure"/>
    <s v="Zainab Yusuf"/>
    <s v="Preventive maintenance on Reactor B-110"/>
    <x v="3"/>
    <x v="0"/>
    <x v="2"/>
  </r>
  <r>
    <s v="WO-1173"/>
    <s v="EQ-110"/>
    <s v="Reactor B-110"/>
    <x v="2"/>
    <s v="Medium"/>
    <x v="0"/>
    <s v="2025-11-18"/>
    <s v="2025-11-18 21:44"/>
    <s v="2025-11-18 21:44"/>
    <s v="2025-11-19 01:39"/>
    <n v="10.7"/>
    <n v="132981.17000000001"/>
    <s v="No Failure"/>
    <s v="Amina Ibrahim"/>
    <s v="Preventive maintenance on Reactor B-110"/>
    <x v="9"/>
    <x v="0"/>
    <x v="2"/>
  </r>
  <r>
    <s v="WO-1174"/>
    <s v="EQ-110"/>
    <s v="Reactor B-110"/>
    <x v="3"/>
    <s v="High"/>
    <x v="1"/>
    <s v="2025-07-14"/>
    <s v="2025-07-14 21:44"/>
    <m/>
    <m/>
    <n v="0"/>
    <n v="0"/>
    <m/>
    <s v="Chidi Eze"/>
    <s v="Breakdown maintenance on Reactor B-110"/>
    <x v="5"/>
    <x v="1"/>
    <x v="3"/>
  </r>
  <r>
    <s v="WO-1175"/>
    <s v="EQ-110"/>
    <s v="Reactor B-110"/>
    <x v="2"/>
    <s v="High"/>
    <x v="0"/>
    <s v="2025-09-02"/>
    <s v="2025-09-02 21:44"/>
    <s v="2025-09-02 21:44"/>
    <s v="2025-09-03 03:25"/>
    <n v="2.8"/>
    <n v="156124.92000000001"/>
    <s v="No Failure"/>
    <s v="Tunde Adeleke"/>
    <s v="Preventive maintenance on Reactor B-110"/>
    <x v="6"/>
    <x v="0"/>
    <x v="2"/>
  </r>
  <r>
    <s v="WO-1176"/>
    <s v="EQ-110"/>
    <s v="Reactor B-110"/>
    <x v="1"/>
    <s v="High"/>
    <x v="0"/>
    <s v="2025-09-27"/>
    <s v="2025-09-27 21:44"/>
    <s v="2025-09-27 21:44"/>
    <s v="2025-09-28 07:37"/>
    <n v="9.9"/>
    <n v="278366.31"/>
    <s v="Corrosion"/>
    <s v="Tunde Adeleke"/>
    <s v="Corrective maintenance on Reactor B-110"/>
    <x v="6"/>
    <x v="0"/>
    <x v="1"/>
  </r>
  <r>
    <s v="WO-1177"/>
    <s v="EQ-110"/>
    <s v="Reactor B-110"/>
    <x v="2"/>
    <s v="Low"/>
    <x v="0"/>
    <s v="2025-08-06"/>
    <s v="2025-08-06 21:44"/>
    <s v="2025-08-06 21:44"/>
    <s v="2025-08-07 03:15"/>
    <n v="5.5"/>
    <n v="299537.65000000002"/>
    <s v="No Failure"/>
    <s v="Emeka Okonkwo"/>
    <s v="Preventive maintenance on Reactor B-110"/>
    <x v="7"/>
    <x v="0"/>
    <x v="2"/>
  </r>
  <r>
    <s v="WO-1178"/>
    <s v="EQ-110"/>
    <s v="Reactor B-110"/>
    <x v="1"/>
    <s v="Medium"/>
    <x v="0"/>
    <s v="2025-01-29"/>
    <s v="2025-01-29 21:44"/>
    <s v="2025-01-29 21:44"/>
    <s v="2025-01-30 15:10"/>
    <n v="19"/>
    <n v="163994.69"/>
    <s v="Mechanical Seal Failure"/>
    <s v="John Okafor"/>
    <s v="Corrective maintenance on Reactor B-110"/>
    <x v="0"/>
    <x v="0"/>
    <x v="1"/>
  </r>
  <r>
    <s v="WO-1179"/>
    <s v="EQ-110"/>
    <s v="Reactor B-110"/>
    <x v="2"/>
    <s v="Critical"/>
    <x v="0"/>
    <s v="2025-10-29"/>
    <s v="2025-10-29 21:44"/>
    <s v="2025-10-29 21:44"/>
    <s v="2025-10-30 06:31"/>
    <n v="4.4000000000000004"/>
    <n v="211290.72"/>
    <s v="No Failure"/>
    <s v="Aisha Mohammed"/>
    <s v="Preventive maintenance on Reactor B-110"/>
    <x v="4"/>
    <x v="0"/>
    <x v="2"/>
  </r>
  <r>
    <s v="WO-1180"/>
    <s v="EQ-110"/>
    <s v="Reactor B-110"/>
    <x v="2"/>
    <s v="Medium"/>
    <x v="0"/>
    <s v="2025-10-08"/>
    <s v="2025-10-08 21:44"/>
    <s v="2025-10-08 21:44"/>
    <s v="2025-10-09 00:04"/>
    <n v="5.7"/>
    <n v="160984.82"/>
    <s v="No Failure"/>
    <s v="Amina Ibrahim"/>
    <s v="Preventive maintenance on Reactor B-110"/>
    <x v="4"/>
    <x v="0"/>
    <x v="2"/>
  </r>
  <r>
    <s v="WO-1181"/>
    <s v="EQ-110"/>
    <s v="Reactor B-110"/>
    <x v="1"/>
    <s v="High"/>
    <x v="0"/>
    <s v="2025-06-27"/>
    <s v="2025-06-27 21:44"/>
    <s v="2025-06-27 21:44"/>
    <s v="2025-06-28 09:42"/>
    <n v="6.3"/>
    <n v="394269.94"/>
    <s v="Normal Wear"/>
    <s v="Zainab Yusuf"/>
    <s v="Corrective maintenance on Reactor B-110"/>
    <x v="11"/>
    <x v="0"/>
    <x v="1"/>
  </r>
  <r>
    <s v="WO-1182"/>
    <s v="EQ-111"/>
    <s v="Diesel Generator B-111"/>
    <x v="2"/>
    <s v="Medium"/>
    <x v="0"/>
    <s v="2025-10-05"/>
    <s v="2025-10-05 21:44"/>
    <s v="2025-10-05 21:44"/>
    <s v="2025-10-06 00:55"/>
    <n v="4.0999999999999996"/>
    <n v="202969.3"/>
    <s v="No Failure"/>
    <s v="Zainab Yusuf"/>
    <s v="Preventive maintenance on Diesel Generator B-111"/>
    <x v="4"/>
    <x v="0"/>
    <x v="2"/>
  </r>
  <r>
    <s v="WO-1183"/>
    <s v="EQ-111"/>
    <s v="Diesel Generator B-111"/>
    <x v="2"/>
    <s v="Low"/>
    <x v="0"/>
    <s v="2025-03-01"/>
    <s v="2025-03-01 21:44"/>
    <s v="2025-03-01 21:44"/>
    <s v="2025-03-02 08:16"/>
    <n v="6.5"/>
    <n v="71947.69"/>
    <s v="No Failure"/>
    <s v="Aisha Mohammed"/>
    <s v="Preventive maintenance on Diesel Generator B-111"/>
    <x v="1"/>
    <x v="0"/>
    <x v="2"/>
  </r>
  <r>
    <s v="WO-1184"/>
    <s v="EQ-111"/>
    <s v="Diesel Generator B-111"/>
    <x v="1"/>
    <s v="High"/>
    <x v="0"/>
    <s v="2025-01-24"/>
    <s v="2025-01-24 21:44"/>
    <s v="2025-01-24 21:44"/>
    <s v="2025-01-25 12:44"/>
    <n v="7.2"/>
    <n v="383825.52"/>
    <s v="No Failure"/>
    <s v="Chidi Eze"/>
    <s v="Corrective maintenance on Diesel Generator B-111"/>
    <x v="0"/>
    <x v="0"/>
    <x v="1"/>
  </r>
  <r>
    <s v="WO-1185"/>
    <s v="EQ-111"/>
    <s v="Diesel Generator B-111"/>
    <x v="3"/>
    <s v="Critical"/>
    <x v="0"/>
    <s v="2025-04-15"/>
    <s v="2025-04-15 21:44"/>
    <s v="2025-04-15 21:44"/>
    <s v="2025-04-16 10:35"/>
    <n v="39.6"/>
    <n v="215770.42"/>
    <s v="Normal Wear"/>
    <s v="Aisha Mohammed"/>
    <s v="Breakdown maintenance on Diesel Generator B-111"/>
    <x v="3"/>
    <x v="0"/>
    <x v="3"/>
  </r>
  <r>
    <s v="WO-1186"/>
    <s v="EQ-111"/>
    <s v="Diesel Generator B-111"/>
    <x v="2"/>
    <s v="Critical"/>
    <x v="1"/>
    <s v="2025-09-30"/>
    <s v="2025-09-30 21:44"/>
    <m/>
    <m/>
    <n v="0"/>
    <n v="0"/>
    <m/>
    <s v="Tunde Adeleke"/>
    <s v="Preventive maintenance on Diesel Generator B-111"/>
    <x v="6"/>
    <x v="1"/>
    <x v="2"/>
  </r>
  <r>
    <s v="WO-1187"/>
    <s v="EQ-111"/>
    <s v="Diesel Generator B-111"/>
    <x v="4"/>
    <s v="Low"/>
    <x v="0"/>
    <s v="2025-08-24"/>
    <s v="2025-08-24 21:44"/>
    <s v="2025-08-24 21:44"/>
    <s v="2025-08-28 00:12"/>
    <n v="31.1"/>
    <n v="1472379.73"/>
    <s v="Normal Wear"/>
    <s v="Amina Ibrahim"/>
    <s v="Overhaul maintenance on Diesel Generator B-111"/>
    <x v="7"/>
    <x v="0"/>
    <x v="4"/>
  </r>
  <r>
    <s v="WO-1188"/>
    <s v="EQ-111"/>
    <s v="Diesel Generator B-111"/>
    <x v="2"/>
    <s v="Low"/>
    <x v="0"/>
    <s v="2025-12-05"/>
    <s v="2025-12-05 21:44"/>
    <s v="2025-12-05 21:44"/>
    <s v="2025-12-06 04:55"/>
    <n v="7.5"/>
    <n v="196946.5"/>
    <s v="No Failure"/>
    <s v="Chidi Eze"/>
    <s v="Preventive maintenance on Diesel Generator B-111"/>
    <x v="2"/>
    <x v="0"/>
    <x v="2"/>
  </r>
  <r>
    <s v="WO-1189"/>
    <s v="EQ-112"/>
    <s v="Diesel Generator B-112"/>
    <x v="1"/>
    <s v="High"/>
    <x v="0"/>
    <s v="2025-02-23"/>
    <s v="2025-02-23 21:44"/>
    <s v="2025-02-23 21:44"/>
    <s v="2025-02-24 12:06"/>
    <n v="22.7"/>
    <n v="190188.11"/>
    <s v="Mechanical Seal Failure"/>
    <s v="Emeka Okonkwo"/>
    <s v="Corrective maintenance on Diesel Generator B-112"/>
    <x v="10"/>
    <x v="0"/>
    <x v="1"/>
  </r>
  <r>
    <s v="WO-1190"/>
    <s v="EQ-112"/>
    <s v="Diesel Generator B-112"/>
    <x v="3"/>
    <s v="Critical"/>
    <x v="0"/>
    <s v="2025-04-01"/>
    <s v="2025-04-01 21:44"/>
    <s v="2025-04-01 21:44"/>
    <s v="2025-04-03 07:08"/>
    <n v="20.100000000000001"/>
    <n v="520086.82"/>
    <s v="Overheating"/>
    <s v="Chidi Eze"/>
    <s v="Breakdown maintenance on Diesel Generator B-112"/>
    <x v="3"/>
    <x v="0"/>
    <x v="3"/>
  </r>
  <r>
    <s v="WO-1191"/>
    <s v="EQ-112"/>
    <s v="Diesel Generator B-112"/>
    <x v="1"/>
    <s v="Low"/>
    <x v="0"/>
    <s v="2025-03-10"/>
    <s v="2025-03-10 21:44"/>
    <s v="2025-03-10 21:44"/>
    <s v="2025-03-11 05:10"/>
    <n v="10.8"/>
    <n v="469571.89"/>
    <s v="Calibration Drift"/>
    <s v="John Okafor"/>
    <s v="Corrective maintenance on Diesel Generator B-112"/>
    <x v="1"/>
    <x v="0"/>
    <x v="1"/>
  </r>
  <r>
    <s v="WO-1192"/>
    <s v="EQ-112"/>
    <s v="Diesel Generator B-112"/>
    <x v="3"/>
    <s v="Medium"/>
    <x v="0"/>
    <s v="2025-02-01"/>
    <s v="2025-02-01 21:44"/>
    <s v="2025-02-01 21:44"/>
    <s v="2025-02-02 07:33"/>
    <n v="34"/>
    <n v="660175.4"/>
    <s v="Mechanical Seal Failure"/>
    <s v="Tunde Adeleke"/>
    <s v="Breakdown maintenance on Diesel Generator B-112"/>
    <x v="10"/>
    <x v="0"/>
    <x v="3"/>
  </r>
  <r>
    <s v="WO-1193"/>
    <s v="EQ-112"/>
    <s v="Diesel Generator B-112"/>
    <x v="1"/>
    <s v="Medium"/>
    <x v="0"/>
    <s v="2025-09-02"/>
    <s v="2025-09-02 21:44"/>
    <s v="2025-09-02 21:44"/>
    <s v="2025-09-03 19:31"/>
    <n v="10"/>
    <n v="197951.16"/>
    <s v="Mechanical Seal Failure"/>
    <s v="Tunde Adeleke"/>
    <s v="Corrective maintenance on Diesel Generator B-112"/>
    <x v="6"/>
    <x v="0"/>
    <x v="1"/>
  </r>
  <r>
    <s v="WO-1194"/>
    <s v="EQ-112"/>
    <s v="Diesel Generator B-112"/>
    <x v="2"/>
    <s v="Medium"/>
    <x v="0"/>
    <s v="2025-01-28"/>
    <s v="2025-01-28 21:44"/>
    <s v="2025-01-28 21:44"/>
    <s v="2025-01-29 06:37"/>
    <n v="6.6"/>
    <n v="135048.14000000001"/>
    <s v="No Failure"/>
    <s v="Chidi Eze"/>
    <s v="Preventive maintenance on Diesel Generator B-112"/>
    <x v="0"/>
    <x v="0"/>
    <x v="2"/>
  </r>
  <r>
    <s v="WO-1195"/>
    <s v="EQ-112"/>
    <s v="Diesel Generator B-112"/>
    <x v="2"/>
    <s v="Low"/>
    <x v="1"/>
    <s v="2025-06-03"/>
    <s v="2025-06-03 21:44"/>
    <m/>
    <m/>
    <n v="0"/>
    <n v="0"/>
    <m/>
    <s v="Chidi Eze"/>
    <s v="Preventive maintenance on Diesel Generator B-112"/>
    <x v="11"/>
    <x v="1"/>
    <x v="2"/>
  </r>
  <r>
    <s v="WO-1196"/>
    <s v="EQ-112"/>
    <s v="Diesel Generator B-112"/>
    <x v="3"/>
    <s v="Critical"/>
    <x v="0"/>
    <s v="2025-10-05"/>
    <s v="2025-10-05 21:44"/>
    <s v="2025-10-05 21:44"/>
    <s v="2025-10-06 09:59"/>
    <n v="26"/>
    <n v="284526.58"/>
    <s v="Normal Wear"/>
    <s v="John Okafor"/>
    <s v="Breakdown maintenance on Diesel Generator B-112"/>
    <x v="4"/>
    <x v="0"/>
    <x v="3"/>
  </r>
  <r>
    <s v="WO-1197"/>
    <s v="EQ-112"/>
    <s v="Diesel Generator B-112"/>
    <x v="2"/>
    <s v="Low"/>
    <x v="0"/>
    <s v="2025-07-06"/>
    <s v="2025-07-06 21:44"/>
    <s v="2025-07-06 21:44"/>
    <s v="2025-07-07 08:23"/>
    <n v="11"/>
    <n v="253369.46"/>
    <s v="No Failure"/>
    <s v="Aisha Mohammed"/>
    <s v="Preventive maintenance on Diesel Generator B-112"/>
    <x v="5"/>
    <x v="0"/>
    <x v="2"/>
  </r>
  <r>
    <s v="WO-1198"/>
    <s v="EQ-112"/>
    <s v="Diesel Generator B-112"/>
    <x v="2"/>
    <s v="Medium"/>
    <x v="0"/>
    <s v="2025-03-13"/>
    <s v="2025-03-13 21:44"/>
    <s v="2025-03-13 21:44"/>
    <s v="2025-03-14 04:43"/>
    <n v="5.0999999999999996"/>
    <n v="55794.07"/>
    <s v="No Failure"/>
    <s v="Tunde Adeleke"/>
    <s v="Preventive maintenance on Diesel Generator B-112"/>
    <x v="1"/>
    <x v="0"/>
    <x v="2"/>
  </r>
  <r>
    <s v="WO-1199"/>
    <s v="EQ-112"/>
    <s v="Diesel Generator B-112"/>
    <x v="1"/>
    <s v="High"/>
    <x v="0"/>
    <s v="2025-04-11"/>
    <s v="2025-04-11 21:44"/>
    <s v="2025-04-11 21:44"/>
    <s v="2025-04-12 13:24"/>
    <n v="16"/>
    <n v="437139.86"/>
    <s v="Vibration"/>
    <s v="Zainab Yusuf"/>
    <s v="Corrective maintenance on Diesel Generator B-112"/>
    <x v="3"/>
    <x v="0"/>
    <x v="1"/>
  </r>
  <r>
    <s v="WO-1200"/>
    <s v="EQ-112"/>
    <s v="Diesel Generator B-112"/>
    <x v="2"/>
    <s v="Low"/>
    <x v="0"/>
    <s v="2024-12-26"/>
    <s v="2024-12-26 21:44"/>
    <s v="2024-12-26 21:44"/>
    <s v="2024-12-27 08:13"/>
    <n v="9.3000000000000007"/>
    <n v="240964.19"/>
    <s v="No Failure"/>
    <s v="Aisha Mohammed"/>
    <s v="Preventive maintenance on Diesel Generator B-112"/>
    <x v="12"/>
    <x v="0"/>
    <x v="2"/>
  </r>
  <r>
    <s v="WO-1201"/>
    <s v="EQ-112"/>
    <s v="Diesel Generator B-112"/>
    <x v="2"/>
    <s v="Medium"/>
    <x v="0"/>
    <s v="2025-01-17"/>
    <s v="2025-01-17 21:44"/>
    <s v="2025-01-17 21:44"/>
    <s v="2025-01-18 05:26"/>
    <n v="2.7"/>
    <n v="176063.88"/>
    <s v="No Failure"/>
    <s v="Emeka Okonkwo"/>
    <s v="Preventive maintenance on Diesel Generator B-112"/>
    <x v="0"/>
    <x v="0"/>
    <x v="2"/>
  </r>
  <r>
    <s v="WO-1202"/>
    <s v="EQ-112"/>
    <s v="Diesel Generator B-112"/>
    <x v="3"/>
    <s v="Critical"/>
    <x v="0"/>
    <s v="2025-12-05"/>
    <s v="2025-12-05 21:44"/>
    <s v="2025-12-05 21:44"/>
    <s v="2025-12-07 06:11"/>
    <n v="22.9"/>
    <n v="792072.6"/>
    <s v="Calibration Drift"/>
    <s v="Aisha Mohammed"/>
    <s v="Breakdown maintenance on Diesel Generator B-112"/>
    <x v="2"/>
    <x v="0"/>
    <x v="3"/>
  </r>
  <r>
    <s v="WO-1203"/>
    <s v="EQ-112"/>
    <s v="Diesel Generator B-112"/>
    <x v="3"/>
    <s v="Critical"/>
    <x v="0"/>
    <s v="2025-10-26"/>
    <s v="2025-10-26 21:44"/>
    <s v="2025-10-26 21:44"/>
    <s v="2025-10-28 02:06"/>
    <n v="13.5"/>
    <n v="399824.42"/>
    <s v="Vibration"/>
    <s v="Zainab Yusuf"/>
    <s v="Breakdown maintenance on Diesel Generator B-112"/>
    <x v="4"/>
    <x v="0"/>
    <x v="3"/>
  </r>
  <r>
    <s v="WO-1204"/>
    <s v="EQ-112"/>
    <s v="Diesel Generator B-112"/>
    <x v="1"/>
    <s v="Low"/>
    <x v="0"/>
    <s v="2025-10-28"/>
    <s v="2025-10-28 21:44"/>
    <s v="2025-10-28 21:44"/>
    <s v="2025-10-29 19:36"/>
    <n v="10.4"/>
    <n v="257181.84"/>
    <s v="Corrosion"/>
    <s v="Emeka Okonkwo"/>
    <s v="Corrective maintenance on Diesel Generator B-112"/>
    <x v="4"/>
    <x v="0"/>
    <x v="1"/>
  </r>
  <r>
    <s v="WO-1205"/>
    <s v="EQ-113"/>
    <s v="Storage Tank B-113"/>
    <x v="2"/>
    <s v="High"/>
    <x v="0"/>
    <s v="2025-09-08"/>
    <s v="2025-09-08 21:44"/>
    <s v="2025-09-08 21:44"/>
    <s v="2025-09-09 05:04"/>
    <n v="10.199999999999999"/>
    <n v="142089.45000000001"/>
    <s v="No Failure"/>
    <s v="Amina Ibrahim"/>
    <s v="Preventive maintenance on Storage Tank B-113"/>
    <x v="6"/>
    <x v="0"/>
    <x v="2"/>
  </r>
  <r>
    <s v="WO-1206"/>
    <s v="EQ-113"/>
    <s v="Storage Tank B-113"/>
    <x v="4"/>
    <s v="Low"/>
    <x v="1"/>
    <s v="2025-10-16"/>
    <s v="2025-10-16 21:44"/>
    <m/>
    <m/>
    <n v="0"/>
    <n v="0"/>
    <m/>
    <s v="John Okafor"/>
    <s v="Overhaul maintenance on Storage Tank B-113"/>
    <x v="4"/>
    <x v="1"/>
    <x v="4"/>
  </r>
  <r>
    <s v="WO-1207"/>
    <s v="EQ-113"/>
    <s v="Storage Tank B-113"/>
    <x v="1"/>
    <s v="Medium"/>
    <x v="0"/>
    <s v="2025-11-22"/>
    <s v="2025-11-22 21:44"/>
    <s v="2025-11-22 21:44"/>
    <s v="2025-11-23 17:24"/>
    <n v="18.399999999999999"/>
    <n v="333409.31"/>
    <s v="Overheating"/>
    <s v="Chidi Eze"/>
    <s v="Corrective maintenance on Storage Tank B-113"/>
    <x v="9"/>
    <x v="0"/>
    <x v="1"/>
  </r>
  <r>
    <s v="WO-1208"/>
    <s v="EQ-113"/>
    <s v="Storage Tank B-113"/>
    <x v="1"/>
    <s v="Low"/>
    <x v="0"/>
    <s v="2025-11-04"/>
    <s v="2025-11-04 21:44"/>
    <s v="2025-11-04 21:44"/>
    <s v="2025-11-05 17:14"/>
    <n v="8.8000000000000007"/>
    <n v="329028.11"/>
    <s v="No Failure"/>
    <s v="Amina Ibrahim"/>
    <s v="Corrective maintenance on Storage Tank B-113"/>
    <x v="9"/>
    <x v="0"/>
    <x v="1"/>
  </r>
  <r>
    <s v="WO-1209"/>
    <s v="EQ-113"/>
    <s v="Storage Tank B-113"/>
    <x v="2"/>
    <s v="Medium"/>
    <x v="0"/>
    <s v="2025-08-04"/>
    <s v="2025-08-04 21:44"/>
    <s v="2025-08-04 21:44"/>
    <s v="2025-08-05 02:52"/>
    <n v="6.1"/>
    <n v="243743.08"/>
    <s v="No Failure"/>
    <s v="Zainab Yusuf"/>
    <s v="Preventive maintenance on Storage Tank B-113"/>
    <x v="7"/>
    <x v="0"/>
    <x v="2"/>
  </r>
  <r>
    <s v="WO-1210"/>
    <s v="EQ-113"/>
    <s v="Storage Tank B-113"/>
    <x v="0"/>
    <s v="Medium"/>
    <x v="0"/>
    <s v="2025-01-22"/>
    <s v="2025-01-22 21:44"/>
    <s v="2025-01-22 21:44"/>
    <s v="2025-01-23 00:51"/>
    <n v="4"/>
    <n v="58269.68"/>
    <s v="No Failure"/>
    <s v="Tunde Adeleke"/>
    <s v="Inspection maintenance on Storage Tank B-113"/>
    <x v="0"/>
    <x v="0"/>
    <x v="0"/>
  </r>
  <r>
    <s v="WO-1211"/>
    <s v="EQ-113"/>
    <s v="Storage Tank B-113"/>
    <x v="2"/>
    <s v="Medium"/>
    <x v="0"/>
    <s v="2025-03-20"/>
    <s v="2025-03-20 21:44"/>
    <s v="2025-03-20 21:44"/>
    <s v="2025-03-21 04:20"/>
    <n v="8.8000000000000007"/>
    <n v="266913.59999999998"/>
    <s v="No Failure"/>
    <s v="Emeka Okonkwo"/>
    <s v="Preventive maintenance on Storage Tank B-113"/>
    <x v="1"/>
    <x v="0"/>
    <x v="2"/>
  </r>
  <r>
    <s v="WO-1212"/>
    <s v="EQ-113"/>
    <s v="Storage Tank B-113"/>
    <x v="1"/>
    <s v="Low"/>
    <x v="0"/>
    <s v="2025-04-27"/>
    <s v="2025-04-27 21:44"/>
    <s v="2025-04-27 21:44"/>
    <s v="2025-04-28 07:19"/>
    <n v="23.6"/>
    <n v="408469.71"/>
    <s v="Vibration"/>
    <s v="Fatima Bello"/>
    <s v="Corrective maintenance on Storage Tank B-113"/>
    <x v="3"/>
    <x v="0"/>
    <x v="1"/>
  </r>
  <r>
    <s v="WO-1213"/>
    <s v="EQ-113"/>
    <s v="Storage Tank B-113"/>
    <x v="1"/>
    <s v="Low"/>
    <x v="0"/>
    <s v="2025-06-02"/>
    <s v="2025-06-02 21:44"/>
    <s v="2025-06-02 21:44"/>
    <s v="2025-06-03 11:20"/>
    <n v="18.399999999999999"/>
    <n v="215115.75"/>
    <s v="Control System Error"/>
    <s v="Tunde Adeleke"/>
    <s v="Corrective maintenance on Storage Tank B-113"/>
    <x v="11"/>
    <x v="0"/>
    <x v="1"/>
  </r>
  <r>
    <s v="WO-1214"/>
    <s v="EQ-113"/>
    <s v="Storage Tank B-113"/>
    <x v="0"/>
    <s v="Low"/>
    <x v="2"/>
    <s v="2025-07-12"/>
    <s v="2025-07-12 21:44"/>
    <m/>
    <m/>
    <n v="0"/>
    <n v="0"/>
    <m/>
    <s v="Emeka Okonkwo"/>
    <s v="Inspection maintenance on Storage Tank B-113"/>
    <x v="5"/>
    <x v="2"/>
    <x v="0"/>
  </r>
  <r>
    <s v="WO-1215"/>
    <s v="EQ-114"/>
    <s v="Diesel Generator B-114"/>
    <x v="2"/>
    <s v="Medium"/>
    <x v="1"/>
    <s v="2025-12-22"/>
    <s v="2025-12-22 21:44"/>
    <m/>
    <m/>
    <n v="0"/>
    <n v="0"/>
    <m/>
    <s v="Zainab Yusuf"/>
    <s v="Preventive maintenance on Diesel Generator B-114"/>
    <x v="2"/>
    <x v="1"/>
    <x v="2"/>
  </r>
  <r>
    <s v="WO-1216"/>
    <s v="EQ-114"/>
    <s v="Diesel Generator B-114"/>
    <x v="2"/>
    <s v="High"/>
    <x v="0"/>
    <s v="2025-09-23"/>
    <s v="2025-09-23 21:44"/>
    <s v="2025-09-23 21:44"/>
    <s v="2025-09-24 02:27"/>
    <n v="3.1"/>
    <n v="235222.74"/>
    <s v="No Failure"/>
    <s v="Fatima Bello"/>
    <s v="Preventive maintenance on Diesel Generator B-114"/>
    <x v="6"/>
    <x v="0"/>
    <x v="2"/>
  </r>
  <r>
    <s v="WO-1217"/>
    <s v="EQ-114"/>
    <s v="Diesel Generator B-114"/>
    <x v="2"/>
    <s v="High"/>
    <x v="0"/>
    <s v="2025-11-29"/>
    <s v="2025-11-29 21:44"/>
    <s v="2025-11-29 21:44"/>
    <s v="2025-11-30 08:47"/>
    <n v="3"/>
    <n v="132573.41"/>
    <s v="No Failure"/>
    <s v="Zainab Yusuf"/>
    <s v="Preventive maintenance on Diesel Generator B-114"/>
    <x v="9"/>
    <x v="0"/>
    <x v="2"/>
  </r>
  <r>
    <s v="WO-1218"/>
    <s v="EQ-114"/>
    <s v="Diesel Generator B-114"/>
    <x v="2"/>
    <s v="Low"/>
    <x v="0"/>
    <s v="2025-03-02"/>
    <s v="2025-03-02 21:44"/>
    <s v="2025-03-02 21:44"/>
    <s v="2025-03-02 23:47"/>
    <n v="6.1"/>
    <n v="283758.02"/>
    <s v="No Failure"/>
    <s v="Zainab Yusuf"/>
    <s v="Preventive maintenance on Diesel Generator B-114"/>
    <x v="1"/>
    <x v="0"/>
    <x v="2"/>
  </r>
  <r>
    <s v="WO-1219"/>
    <s v="EQ-114"/>
    <s v="Diesel Generator B-114"/>
    <x v="2"/>
    <s v="High"/>
    <x v="0"/>
    <s v="2025-04-03"/>
    <s v="2025-04-03 21:44"/>
    <s v="2025-04-03 21:44"/>
    <s v="2025-04-04 07:18"/>
    <n v="2.6"/>
    <n v="242181.25"/>
    <s v="No Failure"/>
    <s v="Fatima Bello"/>
    <s v="Preventive maintenance on Diesel Generator B-114"/>
    <x v="3"/>
    <x v="0"/>
    <x v="2"/>
  </r>
  <r>
    <s v="WO-1220"/>
    <s v="EQ-114"/>
    <s v="Diesel Generator B-114"/>
    <x v="1"/>
    <s v="Low"/>
    <x v="0"/>
    <s v="2025-01-10"/>
    <s v="2025-01-10 21:44"/>
    <s v="2025-01-10 21:44"/>
    <s v="2025-01-11 20:00"/>
    <n v="7.5"/>
    <n v="467853.92"/>
    <s v="No Failure"/>
    <s v="Tunde Adeleke"/>
    <s v="Corrective maintenance on Diesel Generator B-114"/>
    <x v="0"/>
    <x v="0"/>
    <x v="1"/>
  </r>
  <r>
    <s v="WO-1221"/>
    <s v="EQ-115"/>
    <s v="Boiler B-115"/>
    <x v="2"/>
    <s v="Medium"/>
    <x v="0"/>
    <s v="2025-05-19"/>
    <s v="2025-05-19 21:44"/>
    <s v="2025-05-19 21:44"/>
    <s v="2025-05-20 08:30"/>
    <n v="3.1"/>
    <n v="295748.46999999997"/>
    <s v="No Failure"/>
    <s v="Emeka Okonkwo"/>
    <s v="Preventive maintenance on Boiler B-115"/>
    <x v="8"/>
    <x v="0"/>
    <x v="2"/>
  </r>
  <r>
    <s v="WO-1222"/>
    <s v="EQ-115"/>
    <s v="Boiler B-115"/>
    <x v="2"/>
    <s v="Low"/>
    <x v="0"/>
    <s v="2025-11-15"/>
    <s v="2025-11-15 21:44"/>
    <s v="2025-11-15 21:44"/>
    <s v="2025-11-16 05:10"/>
    <n v="10.5"/>
    <n v="167005.19"/>
    <s v="No Failure"/>
    <s v="Fatima Bello"/>
    <s v="Preventive maintenance on Boiler B-115"/>
    <x v="9"/>
    <x v="0"/>
    <x v="2"/>
  </r>
  <r>
    <s v="WO-1223"/>
    <s v="EQ-115"/>
    <s v="Boiler B-115"/>
    <x v="3"/>
    <s v="Medium"/>
    <x v="0"/>
    <s v="2025-03-15"/>
    <s v="2025-03-15 21:44"/>
    <s v="2025-03-15 21:44"/>
    <s v="2025-03-17 10:59"/>
    <n v="8.6"/>
    <n v="402267.31"/>
    <s v="Leakage"/>
    <s v="Emeka Okonkwo"/>
    <s v="Breakdown maintenance on Boiler B-115"/>
    <x v="1"/>
    <x v="0"/>
    <x v="3"/>
  </r>
  <r>
    <s v="WO-1224"/>
    <s v="EQ-115"/>
    <s v="Boiler B-115"/>
    <x v="1"/>
    <s v="Medium"/>
    <x v="0"/>
    <s v="2025-03-21"/>
    <s v="2025-03-21 21:44"/>
    <s v="2025-03-21 21:44"/>
    <s v="2025-03-22 13:57"/>
    <n v="12.6"/>
    <n v="231170.66"/>
    <s v="Vibration"/>
    <s v="Tunde Adeleke"/>
    <s v="Corrective maintenance on Boiler B-115"/>
    <x v="1"/>
    <x v="0"/>
    <x v="1"/>
  </r>
  <r>
    <s v="WO-1225"/>
    <s v="EQ-115"/>
    <s v="Boiler B-115"/>
    <x v="1"/>
    <s v="Critical"/>
    <x v="2"/>
    <s v="2025-03-03"/>
    <s v="2025-03-03 21:44"/>
    <m/>
    <m/>
    <n v="0"/>
    <n v="0"/>
    <m/>
    <s v="Tunde Adeleke"/>
    <s v="Corrective maintenance on Boiler B-115"/>
    <x v="1"/>
    <x v="2"/>
    <x v="1"/>
  </r>
  <r>
    <s v="WO-1226"/>
    <s v="EQ-115"/>
    <s v="Boiler B-115"/>
    <x v="2"/>
    <s v="Medium"/>
    <x v="0"/>
    <s v="2025-05-07"/>
    <s v="2025-05-07 21:44"/>
    <s v="2025-05-07 21:44"/>
    <s v="2025-05-08 09:17"/>
    <n v="2.1"/>
    <n v="213420.84"/>
    <s v="No Failure"/>
    <s v="Fatima Bello"/>
    <s v="Preventive maintenance on Boiler B-115"/>
    <x v="8"/>
    <x v="0"/>
    <x v="2"/>
  </r>
  <r>
    <s v="WO-1227"/>
    <s v="EQ-115"/>
    <s v="Boiler B-115"/>
    <x v="2"/>
    <s v="Medium"/>
    <x v="0"/>
    <s v="2025-02-20"/>
    <s v="2025-02-20 21:44"/>
    <s v="2025-02-20 21:44"/>
    <s v="2025-02-21 04:23"/>
    <n v="11.2"/>
    <n v="271950.34999999998"/>
    <s v="No Failure"/>
    <s v="Emeka Okonkwo"/>
    <s v="Preventive maintenance on Boiler B-115"/>
    <x v="10"/>
    <x v="0"/>
    <x v="2"/>
  </r>
  <r>
    <s v="WO-1228"/>
    <s v="EQ-115"/>
    <s v="Boiler B-115"/>
    <x v="1"/>
    <s v="Low"/>
    <x v="0"/>
    <s v="2025-05-22"/>
    <s v="2025-05-22 21:44"/>
    <s v="2025-05-22 21:44"/>
    <s v="2025-05-23 09:05"/>
    <n v="13.6"/>
    <n v="281991.46999999997"/>
    <s v="Lubrication Issue"/>
    <s v="Aisha Mohammed"/>
    <s v="Corrective maintenance on Boiler B-115"/>
    <x v="8"/>
    <x v="0"/>
    <x v="1"/>
  </r>
  <r>
    <s v="WO-1229"/>
    <s v="EQ-115"/>
    <s v="Boiler B-115"/>
    <x v="2"/>
    <s v="Low"/>
    <x v="0"/>
    <s v="2025-09-29"/>
    <s v="2025-09-29 21:44"/>
    <s v="2025-09-29 21:44"/>
    <s v="2025-09-30 08:52"/>
    <n v="10.3"/>
    <n v="240464.9"/>
    <s v="No Failure"/>
    <s v="Amina Ibrahim"/>
    <s v="Preventive maintenance on Boiler B-115"/>
    <x v="6"/>
    <x v="0"/>
    <x v="2"/>
  </r>
  <r>
    <s v="WO-1230"/>
    <s v="EQ-115"/>
    <s v="Boiler B-115"/>
    <x v="1"/>
    <s v="Critical"/>
    <x v="1"/>
    <s v="2025-12-17"/>
    <s v="2025-12-17 21:44"/>
    <m/>
    <m/>
    <n v="0"/>
    <n v="0"/>
    <m/>
    <s v="Fatima Bello"/>
    <s v="Corrective maintenance on Boiler B-115"/>
    <x v="2"/>
    <x v="1"/>
    <x v="1"/>
  </r>
  <r>
    <s v="WO-1231"/>
    <s v="EQ-115"/>
    <s v="Boiler B-115"/>
    <x v="1"/>
    <s v="Critical"/>
    <x v="0"/>
    <s v="2025-03-16"/>
    <s v="2025-03-16 21:44"/>
    <s v="2025-03-16 21:44"/>
    <s v="2025-03-17 08:18"/>
    <n v="8.1"/>
    <n v="333259.07"/>
    <s v="Corrosion"/>
    <s v="Amina Ibrahim"/>
    <s v="Corrective maintenance on Boiler B-115"/>
    <x v="1"/>
    <x v="0"/>
    <x v="1"/>
  </r>
  <r>
    <s v="WO-1232"/>
    <s v="EQ-115"/>
    <s v="Boiler B-115"/>
    <x v="0"/>
    <s v="Medium"/>
    <x v="0"/>
    <s v="2025-08-07"/>
    <s v="2025-08-07 21:44"/>
    <s v="2025-08-07 21:44"/>
    <s v="2025-08-08 01:10"/>
    <n v="2.4"/>
    <n v="24618.94"/>
    <s v="No Failure"/>
    <s v="Zainab Yusuf"/>
    <s v="Inspection maintenance on Boiler B-115"/>
    <x v="7"/>
    <x v="0"/>
    <x v="0"/>
  </r>
  <r>
    <s v="WO-1233"/>
    <s v="EQ-116"/>
    <s v="Turbine B-116"/>
    <x v="3"/>
    <s v="Medium"/>
    <x v="0"/>
    <s v="2025-05-01"/>
    <s v="2025-05-01 21:44"/>
    <s v="2025-05-01 21:44"/>
    <s v="2025-05-03 14:24"/>
    <n v="9.8000000000000007"/>
    <n v="406717.32"/>
    <s v="Electrical Fault"/>
    <s v="Amina Ibrahim"/>
    <s v="Breakdown maintenance on Turbine B-116"/>
    <x v="8"/>
    <x v="0"/>
    <x v="3"/>
  </r>
  <r>
    <s v="WO-1234"/>
    <s v="EQ-116"/>
    <s v="Turbine B-116"/>
    <x v="1"/>
    <s v="High"/>
    <x v="0"/>
    <s v="2025-01-26"/>
    <s v="2025-01-26 21:44"/>
    <s v="2025-01-26 21:44"/>
    <s v="2025-01-27 21:28"/>
    <n v="7.6"/>
    <n v="154171.54999999999"/>
    <s v="Mechanical Seal Failure"/>
    <s v="Tunde Adeleke"/>
    <s v="Corrective maintenance on Turbine B-116"/>
    <x v="0"/>
    <x v="0"/>
    <x v="1"/>
  </r>
  <r>
    <s v="WO-1235"/>
    <s v="EQ-116"/>
    <s v="Turbine B-116"/>
    <x v="2"/>
    <s v="High"/>
    <x v="1"/>
    <s v="2025-07-05"/>
    <s v="2025-07-05 21:44"/>
    <m/>
    <m/>
    <n v="0"/>
    <n v="0"/>
    <m/>
    <s v="Amina Ibrahim"/>
    <s v="Preventive maintenance on Turbine B-116"/>
    <x v="5"/>
    <x v="1"/>
    <x v="2"/>
  </r>
  <r>
    <s v="WO-1236"/>
    <s v="EQ-116"/>
    <s v="Turbine B-116"/>
    <x v="1"/>
    <s v="Critical"/>
    <x v="1"/>
    <s v="2025-09-24"/>
    <s v="2025-09-24 21:44"/>
    <m/>
    <m/>
    <n v="0"/>
    <n v="0"/>
    <m/>
    <s v="Tunde Adeleke"/>
    <s v="Corrective maintenance on Turbine B-116"/>
    <x v="6"/>
    <x v="1"/>
    <x v="1"/>
  </r>
  <r>
    <s v="WO-1237"/>
    <s v="EQ-116"/>
    <s v="Turbine B-116"/>
    <x v="1"/>
    <s v="Low"/>
    <x v="0"/>
    <s v="2025-04-15"/>
    <s v="2025-04-15 21:44"/>
    <s v="2025-04-15 21:44"/>
    <s v="2025-04-16 18:26"/>
    <n v="13.3"/>
    <n v="387637.59"/>
    <s v="No Failure"/>
    <s v="Tunde Adeleke"/>
    <s v="Corrective maintenance on Turbine B-116"/>
    <x v="3"/>
    <x v="0"/>
    <x v="1"/>
  </r>
  <r>
    <s v="WO-1238"/>
    <s v="EQ-116"/>
    <s v="Turbine B-116"/>
    <x v="1"/>
    <s v="High"/>
    <x v="0"/>
    <s v="2025-04-27"/>
    <s v="2025-04-27 21:44"/>
    <s v="2025-04-27 21:44"/>
    <s v="2025-04-28 10:57"/>
    <n v="21.5"/>
    <n v="406195.97"/>
    <s v="Vibration"/>
    <s v="John Okafor"/>
    <s v="Corrective maintenance on Turbine B-116"/>
    <x v="3"/>
    <x v="0"/>
    <x v="1"/>
  </r>
  <r>
    <s v="WO-1239"/>
    <s v="EQ-116"/>
    <s v="Turbine B-116"/>
    <x v="3"/>
    <s v="Critical"/>
    <x v="1"/>
    <s v="2025-11-01"/>
    <s v="2025-11-01 21:44"/>
    <m/>
    <m/>
    <n v="0"/>
    <n v="0"/>
    <m/>
    <s v="Fatima Bello"/>
    <s v="Breakdown maintenance on Turbine B-116"/>
    <x v="9"/>
    <x v="1"/>
    <x v="3"/>
  </r>
  <r>
    <s v="WO-1240"/>
    <s v="EQ-116"/>
    <s v="Turbine B-116"/>
    <x v="2"/>
    <s v="Medium"/>
    <x v="0"/>
    <s v="2025-10-22"/>
    <s v="2025-10-22 21:44"/>
    <s v="2025-10-22 21:44"/>
    <s v="2025-10-23 00:04"/>
    <n v="2.5"/>
    <n v="235135.27"/>
    <s v="No Failure"/>
    <s v="Tunde Adeleke"/>
    <s v="Preventive maintenance on Turbine B-116"/>
    <x v="4"/>
    <x v="0"/>
    <x v="2"/>
  </r>
  <r>
    <s v="WO-1241"/>
    <s v="EQ-116"/>
    <s v="Turbine B-116"/>
    <x v="2"/>
    <s v="Critical"/>
    <x v="1"/>
    <s v="2025-09-24"/>
    <s v="2025-09-24 21:44"/>
    <m/>
    <m/>
    <n v="0"/>
    <n v="0"/>
    <m/>
    <s v="Emeka Okonkwo"/>
    <s v="Preventive maintenance on Turbine B-116"/>
    <x v="6"/>
    <x v="1"/>
    <x v="2"/>
  </r>
  <r>
    <s v="WO-1242"/>
    <s v="EQ-116"/>
    <s v="Turbine B-116"/>
    <x v="2"/>
    <s v="Medium"/>
    <x v="0"/>
    <s v="2025-10-12"/>
    <s v="2025-10-12 21:44"/>
    <s v="2025-10-12 21:44"/>
    <s v="2025-10-13 02:56"/>
    <n v="5.2"/>
    <n v="125441.11"/>
    <s v="No Failure"/>
    <s v="Chidi Eze"/>
    <s v="Preventive maintenance on Turbine B-116"/>
    <x v="4"/>
    <x v="0"/>
    <x v="2"/>
  </r>
  <r>
    <s v="WO-1243"/>
    <s v="EQ-116"/>
    <s v="Turbine B-116"/>
    <x v="4"/>
    <s v="Critical"/>
    <x v="0"/>
    <s v="2025-09-14"/>
    <s v="2025-09-14 21:44"/>
    <s v="2025-09-14 21:44"/>
    <s v="2025-09-16 18:57"/>
    <n v="115.1"/>
    <n v="1379713.89"/>
    <s v="Normal Wear"/>
    <s v="Chidi Eze"/>
    <s v="Overhaul maintenance on Turbine B-116"/>
    <x v="6"/>
    <x v="0"/>
    <x v="4"/>
  </r>
  <r>
    <s v="WO-1244"/>
    <s v="EQ-116"/>
    <s v="Turbine B-116"/>
    <x v="1"/>
    <s v="Low"/>
    <x v="2"/>
    <s v="2025-10-02"/>
    <s v="2025-10-02 21:44"/>
    <m/>
    <m/>
    <n v="0"/>
    <n v="0"/>
    <m/>
    <s v="Tunde Adeleke"/>
    <s v="Corrective maintenance on Turbine B-116"/>
    <x v="4"/>
    <x v="2"/>
    <x v="1"/>
  </r>
  <r>
    <s v="WO-1245"/>
    <s v="EQ-116"/>
    <s v="Turbine B-116"/>
    <x v="3"/>
    <s v="High"/>
    <x v="0"/>
    <s v="2025-12-13"/>
    <s v="2025-12-13 21:44"/>
    <s v="2025-12-13 21:44"/>
    <s v="2025-12-14 22:23"/>
    <n v="38.200000000000003"/>
    <n v="484111.29"/>
    <s v="Leakage"/>
    <s v="Fatima Bello"/>
    <s v="Breakdown maintenance on Turbine B-116"/>
    <x v="2"/>
    <x v="0"/>
    <x v="3"/>
  </r>
  <r>
    <s v="WO-1246"/>
    <s v="EQ-116"/>
    <s v="Turbine B-116"/>
    <x v="2"/>
    <s v="Critical"/>
    <x v="0"/>
    <s v="2025-12-19"/>
    <s v="2025-12-19 21:44"/>
    <s v="2025-12-19 21:44"/>
    <s v="2025-12-20 01:11"/>
    <n v="6.1"/>
    <n v="154126.97"/>
    <s v="No Failure"/>
    <s v="Chidi Eze"/>
    <s v="Preventive maintenance on Turbine B-116"/>
    <x v="2"/>
    <x v="0"/>
    <x v="2"/>
  </r>
  <r>
    <s v="WO-1247"/>
    <s v="EQ-117"/>
    <s v="Electric Motor B-117"/>
    <x v="2"/>
    <s v="Medium"/>
    <x v="0"/>
    <s v="2025-04-05"/>
    <s v="2025-04-05 21:44"/>
    <s v="2025-04-05 21:44"/>
    <s v="2025-04-06 03:02"/>
    <n v="5.7"/>
    <n v="183908.88"/>
    <s v="No Failure"/>
    <s v="Fatima Bello"/>
    <s v="Preventive maintenance on Electric Motor B-117"/>
    <x v="3"/>
    <x v="0"/>
    <x v="2"/>
  </r>
  <r>
    <s v="WO-1248"/>
    <s v="EQ-117"/>
    <s v="Electric Motor B-117"/>
    <x v="2"/>
    <s v="Low"/>
    <x v="0"/>
    <s v="2025-07-03"/>
    <s v="2025-07-03 21:44"/>
    <s v="2025-07-03 21:44"/>
    <s v="2025-07-04 06:28"/>
    <n v="3.9"/>
    <n v="240424.1"/>
    <s v="No Failure"/>
    <s v="Fatima Bello"/>
    <s v="Preventive maintenance on Electric Motor B-117"/>
    <x v="5"/>
    <x v="0"/>
    <x v="2"/>
  </r>
  <r>
    <s v="WO-1249"/>
    <s v="EQ-117"/>
    <s v="Electric Motor B-117"/>
    <x v="2"/>
    <s v="High"/>
    <x v="1"/>
    <s v="2025-06-10"/>
    <s v="2025-06-10 21:44"/>
    <m/>
    <m/>
    <n v="0"/>
    <n v="0"/>
    <m/>
    <s v="Fatima Bello"/>
    <s v="Preventive maintenance on Electric Motor B-117"/>
    <x v="11"/>
    <x v="1"/>
    <x v="2"/>
  </r>
  <r>
    <s v="WO-1250"/>
    <s v="EQ-117"/>
    <s v="Electric Motor B-117"/>
    <x v="4"/>
    <s v="Low"/>
    <x v="0"/>
    <s v="2025-02-20"/>
    <s v="2025-02-20 21:44"/>
    <s v="2025-02-20 21:44"/>
    <s v="2025-02-24 21:26"/>
    <n v="90.8"/>
    <n v="1203768.58"/>
    <s v="Normal Wear"/>
    <s v="Tunde Adeleke"/>
    <s v="Overhaul maintenance on Electric Motor B-117"/>
    <x v="10"/>
    <x v="0"/>
    <x v="4"/>
  </r>
  <r>
    <s v="WO-1251"/>
    <s v="EQ-117"/>
    <s v="Electric Motor B-117"/>
    <x v="0"/>
    <s v="Medium"/>
    <x v="0"/>
    <s v="2025-09-30"/>
    <s v="2025-09-30 21:44"/>
    <s v="2025-09-30 21:44"/>
    <s v="2025-09-30 23:42"/>
    <n v="2.9"/>
    <n v="44673.78"/>
    <s v="No Failure"/>
    <s v="Aisha Mohammed"/>
    <s v="Inspection maintenance on Electric Motor B-117"/>
    <x v="6"/>
    <x v="0"/>
    <x v="0"/>
  </r>
  <r>
    <s v="WO-1252"/>
    <s v="EQ-117"/>
    <s v="Electric Motor B-117"/>
    <x v="1"/>
    <s v="Medium"/>
    <x v="3"/>
    <s v="2025-08-17"/>
    <s v="2025-08-17 21:44"/>
    <m/>
    <m/>
    <n v="0"/>
    <n v="0"/>
    <m/>
    <s v="Aisha Mohammed"/>
    <s v="Corrective maintenance on Electric Motor B-117"/>
    <x v="7"/>
    <x v="3"/>
    <x v="1"/>
  </r>
  <r>
    <s v="WO-1253"/>
    <s v="EQ-117"/>
    <s v="Electric Motor B-117"/>
    <x v="0"/>
    <s v="Low"/>
    <x v="0"/>
    <s v="2025-06-29"/>
    <s v="2025-06-29 21:44"/>
    <s v="2025-06-29 21:44"/>
    <s v="2025-06-29 23:41"/>
    <n v="3.2"/>
    <n v="21297.59"/>
    <s v="No Failure"/>
    <s v="Tunde Adeleke"/>
    <s v="Inspection maintenance on Electric Motor B-117"/>
    <x v="11"/>
    <x v="0"/>
    <x v="0"/>
  </r>
  <r>
    <s v="WO-1254"/>
    <s v="EQ-117"/>
    <s v="Electric Motor B-117"/>
    <x v="2"/>
    <s v="Low"/>
    <x v="0"/>
    <s v="2025-04-01"/>
    <s v="2025-04-01 21:44"/>
    <s v="2025-04-01 21:44"/>
    <s v="2025-04-02 03:02"/>
    <n v="7"/>
    <n v="213651.99"/>
    <s v="No Failure"/>
    <s v="Aisha Mohammed"/>
    <s v="Preventive maintenance on Electric Motor B-117"/>
    <x v="3"/>
    <x v="0"/>
    <x v="2"/>
  </r>
  <r>
    <s v="WO-1255"/>
    <s v="EQ-117"/>
    <s v="Electric Motor B-117"/>
    <x v="2"/>
    <s v="Medium"/>
    <x v="0"/>
    <s v="2025-08-29"/>
    <s v="2025-08-29 21:44"/>
    <s v="2025-08-29 21:44"/>
    <s v="2025-08-30 09:24"/>
    <n v="3.7"/>
    <n v="248743.88"/>
    <s v="No Failure"/>
    <s v="Chidi Eze"/>
    <s v="Preventive maintenance on Electric Motor B-117"/>
    <x v="7"/>
    <x v="0"/>
    <x v="2"/>
  </r>
  <r>
    <s v="WO-1256"/>
    <s v="EQ-117"/>
    <s v="Electric Motor B-117"/>
    <x v="2"/>
    <s v="Medium"/>
    <x v="1"/>
    <s v="2025-09-27"/>
    <s v="2025-09-27 21:44"/>
    <m/>
    <m/>
    <n v="0"/>
    <n v="0"/>
    <m/>
    <s v="John Okafor"/>
    <s v="Preventive maintenance on Electric Motor B-117"/>
    <x v="6"/>
    <x v="1"/>
    <x v="2"/>
  </r>
  <r>
    <s v="WO-1257"/>
    <s v="EQ-117"/>
    <s v="Electric Motor B-117"/>
    <x v="1"/>
    <s v="Critical"/>
    <x v="0"/>
    <s v="2025-11-29"/>
    <s v="2025-11-29 21:44"/>
    <s v="2025-11-29 21:44"/>
    <s v="2025-11-30 02:42"/>
    <n v="16.600000000000001"/>
    <n v="127187.18"/>
    <s v="Bearing Wear"/>
    <s v="Chidi Eze"/>
    <s v="Corrective maintenance on Electric Motor B-117"/>
    <x v="9"/>
    <x v="0"/>
    <x v="1"/>
  </r>
  <r>
    <s v="WO-1258"/>
    <s v="EQ-117"/>
    <s v="Electric Motor B-117"/>
    <x v="2"/>
    <s v="Medium"/>
    <x v="0"/>
    <s v="2025-09-06"/>
    <s v="2025-09-06 21:44"/>
    <s v="2025-09-06 21:44"/>
    <s v="2025-09-07 04:18"/>
    <n v="11.3"/>
    <n v="278187.86"/>
    <s v="No Failure"/>
    <s v="Zainab Yusuf"/>
    <s v="Preventive maintenance on Electric Motor B-117"/>
    <x v="6"/>
    <x v="0"/>
    <x v="2"/>
  </r>
  <r>
    <s v="WO-1259"/>
    <s v="EQ-117"/>
    <s v="Electric Motor B-117"/>
    <x v="2"/>
    <s v="Medium"/>
    <x v="0"/>
    <s v="2025-09-20"/>
    <s v="2025-09-20 21:44"/>
    <s v="2025-09-20 21:44"/>
    <s v="2025-09-21 05:15"/>
    <n v="4.7"/>
    <n v="294369.84000000003"/>
    <s v="No Failure"/>
    <s v="John Okafor"/>
    <s v="Preventive maintenance on Electric Motor B-117"/>
    <x v="6"/>
    <x v="0"/>
    <x v="2"/>
  </r>
  <r>
    <s v="WO-1260"/>
    <s v="EQ-117"/>
    <s v="Electric Motor B-117"/>
    <x v="1"/>
    <s v="High"/>
    <x v="2"/>
    <s v="2025-12-02"/>
    <s v="2025-12-02 21:44"/>
    <m/>
    <m/>
    <n v="0"/>
    <n v="0"/>
    <m/>
    <s v="Amina Ibrahim"/>
    <s v="Corrective maintenance on Electric Motor B-117"/>
    <x v="2"/>
    <x v="2"/>
    <x v="1"/>
  </r>
  <r>
    <s v="WO-1261"/>
    <s v="EQ-117"/>
    <s v="Electric Motor B-117"/>
    <x v="1"/>
    <s v="High"/>
    <x v="0"/>
    <s v="2025-03-30"/>
    <s v="2025-03-30 21:44"/>
    <s v="2025-03-30 21:44"/>
    <s v="2025-03-31 14:08"/>
    <n v="19.899999999999999"/>
    <n v="131607.70000000001"/>
    <s v="Vibration"/>
    <s v="Tunde Adeleke"/>
    <s v="Corrective maintenance on Electric Motor B-117"/>
    <x v="1"/>
    <x v="0"/>
    <x v="1"/>
  </r>
  <r>
    <s v="WO-1262"/>
    <s v="EQ-117"/>
    <s v="Electric Motor B-117"/>
    <x v="2"/>
    <s v="Medium"/>
    <x v="0"/>
    <s v="2025-04-25"/>
    <s v="2025-04-25 21:44"/>
    <s v="2025-04-25 21:44"/>
    <s v="2025-04-26 09:38"/>
    <n v="10.5"/>
    <n v="213433.93"/>
    <s v="No Failure"/>
    <s v="John Okafor"/>
    <s v="Preventive maintenance on Electric Motor B-117"/>
    <x v="3"/>
    <x v="0"/>
    <x v="2"/>
  </r>
  <r>
    <s v="WO-1263"/>
    <s v="EQ-118"/>
    <s v="Diesel Generator B-118"/>
    <x v="2"/>
    <s v="Critical"/>
    <x v="0"/>
    <s v="2025-07-03"/>
    <s v="2025-07-03 21:44"/>
    <s v="2025-07-03 21:44"/>
    <s v="2025-07-04 05:16"/>
    <n v="3.7"/>
    <n v="174964.6"/>
    <s v="No Failure"/>
    <s v="Tunde Adeleke"/>
    <s v="Preventive maintenance on Diesel Generator B-118"/>
    <x v="5"/>
    <x v="0"/>
    <x v="2"/>
  </r>
  <r>
    <s v="WO-1264"/>
    <s v="EQ-118"/>
    <s v="Diesel Generator B-118"/>
    <x v="1"/>
    <s v="Low"/>
    <x v="2"/>
    <s v="2025-10-07"/>
    <s v="2025-10-07 21:44"/>
    <m/>
    <m/>
    <n v="0"/>
    <n v="0"/>
    <m/>
    <s v="John Okafor"/>
    <s v="Corrective maintenance on Diesel Generator B-118"/>
    <x v="4"/>
    <x v="2"/>
    <x v="1"/>
  </r>
  <r>
    <s v="WO-1265"/>
    <s v="EQ-118"/>
    <s v="Diesel Generator B-118"/>
    <x v="2"/>
    <s v="Critical"/>
    <x v="0"/>
    <s v="2025-12-11"/>
    <s v="2025-12-11 21:44"/>
    <s v="2025-12-11 21:44"/>
    <s v="2025-12-12 08:37"/>
    <n v="2.7"/>
    <n v="281396.2"/>
    <s v="No Failure"/>
    <s v="John Okafor"/>
    <s v="Preventive maintenance on Diesel Generator B-118"/>
    <x v="2"/>
    <x v="0"/>
    <x v="2"/>
  </r>
  <r>
    <s v="WO-1266"/>
    <s v="EQ-118"/>
    <s v="Diesel Generator B-118"/>
    <x v="2"/>
    <s v="Critical"/>
    <x v="0"/>
    <s v="2025-06-01"/>
    <s v="2025-06-01 21:44"/>
    <s v="2025-06-01 21:44"/>
    <s v="2025-06-01 23:54"/>
    <n v="10.199999999999999"/>
    <n v="255225.60000000001"/>
    <s v="No Failure"/>
    <s v="Amina Ibrahim"/>
    <s v="Preventive maintenance on Diesel Generator B-118"/>
    <x v="11"/>
    <x v="0"/>
    <x v="2"/>
  </r>
  <r>
    <s v="WO-1267"/>
    <s v="EQ-118"/>
    <s v="Diesel Generator B-118"/>
    <x v="2"/>
    <s v="High"/>
    <x v="0"/>
    <s v="2025-10-06"/>
    <s v="2025-10-06 21:44"/>
    <s v="2025-10-06 21:44"/>
    <s v="2025-10-07 02:09"/>
    <n v="11"/>
    <n v="132932.46"/>
    <s v="No Failure"/>
    <s v="Chidi Eze"/>
    <s v="Preventive maintenance on Diesel Generator B-118"/>
    <x v="4"/>
    <x v="0"/>
    <x v="2"/>
  </r>
  <r>
    <s v="WO-1268"/>
    <s v="EQ-118"/>
    <s v="Diesel Generator B-118"/>
    <x v="3"/>
    <s v="Critical"/>
    <x v="0"/>
    <s v="2025-09-04"/>
    <s v="2025-09-04 21:44"/>
    <s v="2025-09-04 21:44"/>
    <s v="2025-09-06 11:33"/>
    <n v="17.3"/>
    <n v="245610.95"/>
    <s v="Bearing Wear"/>
    <s v="Tunde Adeleke"/>
    <s v="Breakdown maintenance on Diesel Generator B-118"/>
    <x v="6"/>
    <x v="0"/>
    <x v="3"/>
  </r>
  <r>
    <s v="WO-1269"/>
    <s v="EQ-118"/>
    <s v="Diesel Generator B-118"/>
    <x v="4"/>
    <s v="Low"/>
    <x v="0"/>
    <s v="2025-06-07"/>
    <s v="2025-06-07 21:44"/>
    <s v="2025-06-07 21:44"/>
    <s v="2025-06-09 00:35"/>
    <n v="71.099999999999994"/>
    <n v="855811.2"/>
    <s v="Normal Wear"/>
    <s v="Tunde Adeleke"/>
    <s v="Overhaul maintenance on Diesel Generator B-118"/>
    <x v="11"/>
    <x v="0"/>
    <x v="4"/>
  </r>
  <r>
    <s v="WO-1270"/>
    <s v="EQ-118"/>
    <s v="Diesel Generator B-118"/>
    <x v="2"/>
    <s v="Medium"/>
    <x v="0"/>
    <s v="2025-12-05"/>
    <s v="2025-12-05 21:44"/>
    <s v="2025-12-05 21:44"/>
    <s v="2025-12-06 05:36"/>
    <n v="5"/>
    <n v="111612.45"/>
    <s v="No Failure"/>
    <s v="Amina Ibrahim"/>
    <s v="Preventive maintenance on Diesel Generator B-118"/>
    <x v="2"/>
    <x v="0"/>
    <x v="2"/>
  </r>
  <r>
    <s v="WO-1271"/>
    <s v="EQ-118"/>
    <s v="Diesel Generator B-118"/>
    <x v="2"/>
    <s v="High"/>
    <x v="0"/>
    <s v="2025-03-10"/>
    <s v="2025-03-10 21:44"/>
    <s v="2025-03-10 21:44"/>
    <s v="2025-03-11 03:32"/>
    <n v="5.9"/>
    <n v="140175.06"/>
    <s v="No Failure"/>
    <s v="Amina Ibrahim"/>
    <s v="Preventive maintenance on Diesel Generator B-118"/>
    <x v="1"/>
    <x v="0"/>
    <x v="2"/>
  </r>
  <r>
    <s v="WO-1272"/>
    <s v="EQ-118"/>
    <s v="Diesel Generator B-118"/>
    <x v="2"/>
    <s v="Critical"/>
    <x v="0"/>
    <s v="2025-05-28"/>
    <s v="2025-05-28 21:44"/>
    <s v="2025-05-28 21:44"/>
    <s v="2025-05-29 04:11"/>
    <n v="2.9"/>
    <n v="157744.88"/>
    <s v="No Failure"/>
    <s v="Tunde Adeleke"/>
    <s v="Preventive maintenance on Diesel Generator B-118"/>
    <x v="8"/>
    <x v="0"/>
    <x v="2"/>
  </r>
  <r>
    <s v="WO-1273"/>
    <s v="EQ-118"/>
    <s v="Diesel Generator B-118"/>
    <x v="2"/>
    <s v="Medium"/>
    <x v="0"/>
    <s v="2025-02-05"/>
    <s v="2025-02-05 21:44"/>
    <s v="2025-02-05 21:44"/>
    <s v="2025-02-06 03:17"/>
    <n v="5.2"/>
    <n v="146309.48000000001"/>
    <s v="No Failure"/>
    <s v="Emeka Okonkwo"/>
    <s v="Preventive maintenance on Diesel Generator B-118"/>
    <x v="10"/>
    <x v="0"/>
    <x v="2"/>
  </r>
  <r>
    <s v="WO-1274"/>
    <s v="EQ-119"/>
    <s v="Storage Tank B-119"/>
    <x v="2"/>
    <s v="Low"/>
    <x v="0"/>
    <s v="2025-02-03"/>
    <s v="2025-02-03 21:44"/>
    <s v="2025-02-03 21:44"/>
    <s v="2025-02-04 06:59"/>
    <n v="4.4000000000000004"/>
    <n v="180276.13"/>
    <s v="No Failure"/>
    <s v="Tunde Adeleke"/>
    <s v="Preventive maintenance on Storage Tank B-119"/>
    <x v="10"/>
    <x v="0"/>
    <x v="2"/>
  </r>
  <r>
    <s v="WO-1275"/>
    <s v="EQ-119"/>
    <s v="Storage Tank B-119"/>
    <x v="2"/>
    <s v="Critical"/>
    <x v="0"/>
    <s v="2025-05-08"/>
    <s v="2025-05-08 21:44"/>
    <s v="2025-05-08 21:44"/>
    <s v="2025-05-09 02:45"/>
    <n v="6.3"/>
    <n v="155275.57999999999"/>
    <s v="No Failure"/>
    <s v="Zainab Yusuf"/>
    <s v="Preventive maintenance on Storage Tank B-119"/>
    <x v="8"/>
    <x v="0"/>
    <x v="2"/>
  </r>
  <r>
    <s v="WO-1276"/>
    <s v="EQ-119"/>
    <s v="Storage Tank B-119"/>
    <x v="3"/>
    <s v="Medium"/>
    <x v="0"/>
    <s v="2025-04-29"/>
    <s v="2025-04-29 21:44"/>
    <s v="2025-04-29 21:44"/>
    <s v="2025-05-01 19:30"/>
    <n v="32.700000000000003"/>
    <n v="474716.98"/>
    <s v="Leakage"/>
    <s v="Chidi Eze"/>
    <s v="Breakdown maintenance on Storage Tank B-119"/>
    <x v="3"/>
    <x v="0"/>
    <x v="3"/>
  </r>
  <r>
    <s v="WO-1277"/>
    <s v="EQ-119"/>
    <s v="Storage Tank B-119"/>
    <x v="2"/>
    <s v="Low"/>
    <x v="0"/>
    <s v="2025-07-12"/>
    <s v="2025-07-12 21:44"/>
    <s v="2025-07-12 21:44"/>
    <s v="2025-07-13 03:04"/>
    <n v="5.3"/>
    <n v="133684.06"/>
    <s v="No Failure"/>
    <s v="Chidi Eze"/>
    <s v="Preventive maintenance on Storage Tank B-119"/>
    <x v="5"/>
    <x v="0"/>
    <x v="2"/>
  </r>
  <r>
    <s v="WO-1278"/>
    <s v="EQ-119"/>
    <s v="Storage Tank B-119"/>
    <x v="2"/>
    <s v="High"/>
    <x v="0"/>
    <s v="2025-10-26"/>
    <s v="2025-10-26 21:44"/>
    <s v="2025-10-26 21:44"/>
    <s v="2025-10-27 09:13"/>
    <n v="11.6"/>
    <n v="292181.31"/>
    <s v="No Failure"/>
    <s v="Emeka Okonkwo"/>
    <s v="Preventive maintenance on Storage Tank B-119"/>
    <x v="4"/>
    <x v="0"/>
    <x v="2"/>
  </r>
  <r>
    <s v="WO-1279"/>
    <s v="EQ-119"/>
    <s v="Storage Tank B-119"/>
    <x v="3"/>
    <s v="High"/>
    <x v="0"/>
    <s v="2025-08-30"/>
    <s v="2025-08-30 21:44"/>
    <s v="2025-08-30 21:44"/>
    <s v="2025-09-01 20:27"/>
    <n v="19.2"/>
    <n v="671519.92"/>
    <s v="Lubrication Issue"/>
    <s v="Aisha Mohammed"/>
    <s v="Breakdown maintenance on Storage Tank B-119"/>
    <x v="7"/>
    <x v="0"/>
    <x v="3"/>
  </r>
  <r>
    <s v="WO-1280"/>
    <s v="EQ-119"/>
    <s v="Storage Tank B-119"/>
    <x v="2"/>
    <s v="High"/>
    <x v="3"/>
    <s v="2025-10-06"/>
    <s v="2025-10-06 21:44"/>
    <m/>
    <m/>
    <n v="0"/>
    <n v="0"/>
    <m/>
    <s v="John Okafor"/>
    <s v="Preventive maintenance on Storage Tank B-119"/>
    <x v="4"/>
    <x v="3"/>
    <x v="2"/>
  </r>
  <r>
    <s v="WO-1281"/>
    <s v="EQ-119"/>
    <s v="Storage Tank B-119"/>
    <x v="4"/>
    <s v="Medium"/>
    <x v="0"/>
    <s v="2025-08-15"/>
    <s v="2025-08-15 21:44"/>
    <s v="2025-08-15 21:44"/>
    <s v="2025-08-20 16:16"/>
    <n v="103.8"/>
    <n v="569158.67000000004"/>
    <s v="Normal Wear"/>
    <s v="Tunde Adeleke"/>
    <s v="Overhaul maintenance on Storage Tank B-119"/>
    <x v="7"/>
    <x v="0"/>
    <x v="4"/>
  </r>
  <r>
    <s v="WO-1282"/>
    <s v="EQ-119"/>
    <s v="Storage Tank B-119"/>
    <x v="1"/>
    <s v="High"/>
    <x v="0"/>
    <s v="2025-11-11"/>
    <s v="2025-11-11 21:44"/>
    <s v="2025-11-11 21:44"/>
    <s v="2025-11-12 07:48"/>
    <n v="12.5"/>
    <n v="250796.33"/>
    <s v="Corrosion"/>
    <s v="Zainab Yusuf"/>
    <s v="Corrective maintenance on Storage Tank B-119"/>
    <x v="9"/>
    <x v="0"/>
    <x v="1"/>
  </r>
  <r>
    <s v="WO-1283"/>
    <s v="EQ-120"/>
    <s v="Pressure Vessel C-120"/>
    <x v="2"/>
    <s v="Low"/>
    <x v="1"/>
    <s v="2025-07-15"/>
    <s v="2025-07-15 21:44"/>
    <m/>
    <m/>
    <n v="0"/>
    <n v="0"/>
    <m/>
    <s v="Tunde Adeleke"/>
    <s v="Preventive maintenance on Pressure Vessel C-120"/>
    <x v="5"/>
    <x v="1"/>
    <x v="2"/>
  </r>
  <r>
    <s v="WO-1284"/>
    <s v="EQ-120"/>
    <s v="Pressure Vessel C-120"/>
    <x v="1"/>
    <s v="Medium"/>
    <x v="0"/>
    <s v="2025-12-16"/>
    <s v="2025-12-16 21:44"/>
    <s v="2025-12-16 21:44"/>
    <s v="2025-12-17 19:39"/>
    <n v="5.7"/>
    <n v="407581.62"/>
    <s v="Leakage"/>
    <s v="Aisha Mohammed"/>
    <s v="Corrective maintenance on Pressure Vessel C-120"/>
    <x v="2"/>
    <x v="0"/>
    <x v="1"/>
  </r>
  <r>
    <s v="WO-1285"/>
    <s v="EQ-120"/>
    <s v="Pressure Vessel C-120"/>
    <x v="2"/>
    <s v="Medium"/>
    <x v="3"/>
    <s v="2025-10-31"/>
    <s v="2025-10-31 21:44"/>
    <m/>
    <m/>
    <n v="0"/>
    <n v="0"/>
    <m/>
    <s v="Tunde Adeleke"/>
    <s v="Preventive maintenance on Pressure Vessel C-120"/>
    <x v="4"/>
    <x v="3"/>
    <x v="2"/>
  </r>
  <r>
    <s v="WO-1286"/>
    <s v="EQ-120"/>
    <s v="Pressure Vessel C-120"/>
    <x v="4"/>
    <s v="Critical"/>
    <x v="0"/>
    <s v="2025-06-09"/>
    <s v="2025-06-09 21:44"/>
    <s v="2025-06-09 21:44"/>
    <s v="2025-06-14 18:27"/>
    <n v="48.8"/>
    <n v="1010676.24"/>
    <s v="Normal Wear"/>
    <s v="Fatima Bello"/>
    <s v="Overhaul maintenance on Pressure Vessel C-120"/>
    <x v="11"/>
    <x v="0"/>
    <x v="4"/>
  </r>
  <r>
    <s v="WO-1287"/>
    <s v="EQ-120"/>
    <s v="Pressure Vessel C-120"/>
    <x v="2"/>
    <s v="Medium"/>
    <x v="0"/>
    <s v="2025-07-10"/>
    <s v="2025-07-10 21:44"/>
    <s v="2025-07-10 21:44"/>
    <s v="2025-07-11 04:22"/>
    <n v="3.5"/>
    <n v="299425.68"/>
    <s v="No Failure"/>
    <s v="Zainab Yusuf"/>
    <s v="Preventive maintenance on Pressure Vessel C-120"/>
    <x v="5"/>
    <x v="0"/>
    <x v="2"/>
  </r>
  <r>
    <s v="WO-1288"/>
    <s v="EQ-120"/>
    <s v="Pressure Vessel C-120"/>
    <x v="2"/>
    <s v="Low"/>
    <x v="0"/>
    <s v="2025-07-22"/>
    <s v="2025-07-22 21:44"/>
    <s v="2025-07-22 21:44"/>
    <s v="2025-07-23 08:57"/>
    <n v="9.3000000000000007"/>
    <n v="137082.16"/>
    <s v="No Failure"/>
    <s v="Aisha Mohammed"/>
    <s v="Preventive maintenance on Pressure Vessel C-120"/>
    <x v="5"/>
    <x v="0"/>
    <x v="2"/>
  </r>
  <r>
    <s v="WO-1289"/>
    <s v="EQ-120"/>
    <s v="Pressure Vessel C-120"/>
    <x v="2"/>
    <s v="Critical"/>
    <x v="0"/>
    <s v="2025-04-06"/>
    <s v="2025-04-06 21:44"/>
    <s v="2025-04-06 21:44"/>
    <s v="2025-04-07 04:57"/>
    <n v="9.1999999999999993"/>
    <n v="163111.79999999999"/>
    <s v="No Failure"/>
    <s v="Amina Ibrahim"/>
    <s v="Preventive maintenance on Pressure Vessel C-120"/>
    <x v="3"/>
    <x v="0"/>
    <x v="2"/>
  </r>
  <r>
    <s v="WO-1290"/>
    <s v="EQ-121"/>
    <s v="Boiler C-121"/>
    <x v="2"/>
    <s v="Medium"/>
    <x v="0"/>
    <s v="2025-12-20"/>
    <s v="2025-12-20 21:44"/>
    <s v="2025-12-20 21:44"/>
    <s v="2025-12-21 00:53"/>
    <n v="8.8000000000000007"/>
    <n v="91088.52"/>
    <s v="No Failure"/>
    <s v="Fatima Bello"/>
    <s v="Preventive maintenance on Boiler C-121"/>
    <x v="2"/>
    <x v="0"/>
    <x v="2"/>
  </r>
  <r>
    <s v="WO-1291"/>
    <s v="EQ-121"/>
    <s v="Boiler C-121"/>
    <x v="1"/>
    <s v="Medium"/>
    <x v="0"/>
    <s v="2025-03-13"/>
    <s v="2025-03-13 21:44"/>
    <s v="2025-03-13 21:44"/>
    <s v="2025-03-14 08:21"/>
    <n v="20"/>
    <n v="351904.13"/>
    <s v="Normal Wear"/>
    <s v="Chidi Eze"/>
    <s v="Corrective maintenance on Boiler C-121"/>
    <x v="1"/>
    <x v="0"/>
    <x v="1"/>
  </r>
  <r>
    <s v="WO-1292"/>
    <s v="EQ-121"/>
    <s v="Boiler C-121"/>
    <x v="1"/>
    <s v="High"/>
    <x v="0"/>
    <s v="2025-07-12"/>
    <s v="2025-07-12 21:44"/>
    <s v="2025-07-12 21:44"/>
    <s v="2025-07-13 02:19"/>
    <n v="15.8"/>
    <n v="255534.31"/>
    <s v="Electrical Fault"/>
    <s v="Fatima Bello"/>
    <s v="Corrective maintenance on Boiler C-121"/>
    <x v="5"/>
    <x v="0"/>
    <x v="1"/>
  </r>
  <r>
    <s v="WO-1293"/>
    <s v="EQ-121"/>
    <s v="Boiler C-121"/>
    <x v="2"/>
    <s v="Critical"/>
    <x v="0"/>
    <s v="2025-12-17"/>
    <s v="2025-12-17 21:44"/>
    <s v="2025-12-17 21:44"/>
    <s v="2025-12-18 07:49"/>
    <n v="10.7"/>
    <n v="96739.96"/>
    <s v="No Failure"/>
    <s v="Aisha Mohammed"/>
    <s v="Preventive maintenance on Boiler C-121"/>
    <x v="2"/>
    <x v="0"/>
    <x v="2"/>
  </r>
  <r>
    <s v="WO-1294"/>
    <s v="EQ-121"/>
    <s v="Boiler C-121"/>
    <x v="2"/>
    <s v="Medium"/>
    <x v="1"/>
    <s v="2025-02-18"/>
    <s v="2025-02-18 21:44"/>
    <m/>
    <m/>
    <n v="0"/>
    <n v="0"/>
    <m/>
    <s v="Aisha Mohammed"/>
    <s v="Preventive maintenance on Boiler C-121"/>
    <x v="10"/>
    <x v="1"/>
    <x v="2"/>
  </r>
  <r>
    <s v="WO-1295"/>
    <s v="EQ-121"/>
    <s v="Boiler C-121"/>
    <x v="1"/>
    <s v="Low"/>
    <x v="0"/>
    <s v="2025-07-10"/>
    <s v="2025-07-10 21:44"/>
    <s v="2025-07-10 21:44"/>
    <s v="2025-07-11 13:29"/>
    <n v="16.3"/>
    <n v="425495.3"/>
    <s v="Calibration Drift"/>
    <s v="Emeka Okonkwo"/>
    <s v="Corrective maintenance on Boiler C-121"/>
    <x v="5"/>
    <x v="0"/>
    <x v="1"/>
  </r>
  <r>
    <s v="WO-1296"/>
    <s v="EQ-121"/>
    <s v="Boiler C-121"/>
    <x v="0"/>
    <s v="Critical"/>
    <x v="0"/>
    <s v="2025-10-20"/>
    <s v="2025-10-20 21:44"/>
    <s v="2025-10-20 21:44"/>
    <s v="2025-10-20 22:59"/>
    <n v="1.9"/>
    <n v="34643.56"/>
    <s v="No Failure"/>
    <s v="Chidi Eze"/>
    <s v="Inspection maintenance on Boiler C-121"/>
    <x v="4"/>
    <x v="0"/>
    <x v="0"/>
  </r>
  <r>
    <s v="WO-1297"/>
    <s v="EQ-121"/>
    <s v="Boiler C-121"/>
    <x v="1"/>
    <s v="High"/>
    <x v="0"/>
    <s v="2025-10-23"/>
    <s v="2025-10-23 21:44"/>
    <s v="2025-10-23 21:44"/>
    <s v="2025-10-24 04:30"/>
    <n v="16.7"/>
    <n v="377373.17"/>
    <s v="Electrical Fault"/>
    <s v="Chidi Eze"/>
    <s v="Corrective maintenance on Boiler C-121"/>
    <x v="4"/>
    <x v="0"/>
    <x v="1"/>
  </r>
  <r>
    <s v="WO-1298"/>
    <s v="EQ-121"/>
    <s v="Boiler C-121"/>
    <x v="1"/>
    <s v="Medium"/>
    <x v="0"/>
    <s v="2025-05-18"/>
    <s v="2025-05-18 21:44"/>
    <s v="2025-05-18 21:44"/>
    <s v="2025-05-19 04:33"/>
    <n v="5.0999999999999996"/>
    <n v="243615.67"/>
    <s v="Control System Error"/>
    <s v="John Okafor"/>
    <s v="Corrective maintenance on Boiler C-121"/>
    <x v="8"/>
    <x v="0"/>
    <x v="1"/>
  </r>
  <r>
    <s v="WO-1299"/>
    <s v="EQ-121"/>
    <s v="Boiler C-121"/>
    <x v="2"/>
    <s v="Medium"/>
    <x v="2"/>
    <s v="2025-03-31"/>
    <s v="2025-03-31 21:44"/>
    <m/>
    <m/>
    <n v="0"/>
    <n v="0"/>
    <m/>
    <s v="Zainab Yusuf"/>
    <s v="Preventive maintenance on Boiler C-121"/>
    <x v="1"/>
    <x v="2"/>
    <x v="2"/>
  </r>
  <r>
    <s v="WO-1300"/>
    <s v="EQ-121"/>
    <s v="Boiler C-121"/>
    <x v="2"/>
    <s v="Medium"/>
    <x v="0"/>
    <s v="2025-08-30"/>
    <s v="2025-08-30 21:44"/>
    <s v="2025-08-30 21:44"/>
    <s v="2025-08-31 03:54"/>
    <n v="2.8"/>
    <n v="57715.18"/>
    <s v="No Failure"/>
    <s v="Fatima Bello"/>
    <s v="Preventive maintenance on Boiler C-121"/>
    <x v="7"/>
    <x v="0"/>
    <x v="2"/>
  </r>
  <r>
    <s v="WO-1301"/>
    <s v="EQ-121"/>
    <s v="Boiler C-121"/>
    <x v="2"/>
    <s v="Medium"/>
    <x v="0"/>
    <s v="2025-05-11"/>
    <s v="2025-05-11 21:44"/>
    <s v="2025-05-11 21:44"/>
    <s v="2025-05-12 01:59"/>
    <n v="7.7"/>
    <n v="243136.91"/>
    <s v="No Failure"/>
    <s v="Zainab Yusuf"/>
    <s v="Preventive maintenance on Boiler C-121"/>
    <x v="8"/>
    <x v="0"/>
    <x v="2"/>
  </r>
  <r>
    <s v="WO-1302"/>
    <s v="EQ-121"/>
    <s v="Boiler C-121"/>
    <x v="1"/>
    <s v="Low"/>
    <x v="0"/>
    <s v="2025-10-11"/>
    <s v="2025-10-11 21:44"/>
    <s v="2025-10-11 21:44"/>
    <s v="2025-10-12 04:01"/>
    <n v="11.3"/>
    <n v="429044.37"/>
    <s v="Bearing Wear"/>
    <s v="John Okafor"/>
    <s v="Corrective maintenance on Boiler C-121"/>
    <x v="4"/>
    <x v="0"/>
    <x v="1"/>
  </r>
  <r>
    <s v="WO-1303"/>
    <s v="EQ-121"/>
    <s v="Boiler C-121"/>
    <x v="3"/>
    <s v="Medium"/>
    <x v="0"/>
    <s v="2025-09-27"/>
    <s v="2025-09-27 21:44"/>
    <s v="2025-09-27 21:44"/>
    <s v="2025-09-28 14:29"/>
    <n v="34.1"/>
    <n v="348518.97"/>
    <s v="Control System Error"/>
    <s v="John Okafor"/>
    <s v="Breakdown maintenance on Boiler C-121"/>
    <x v="6"/>
    <x v="0"/>
    <x v="3"/>
  </r>
  <r>
    <s v="WO-1304"/>
    <s v="EQ-121"/>
    <s v="Boiler C-121"/>
    <x v="2"/>
    <s v="Low"/>
    <x v="0"/>
    <s v="2025-06-18"/>
    <s v="2025-06-18 21:44"/>
    <s v="2025-06-18 21:44"/>
    <s v="2025-06-19 08:22"/>
    <n v="3.2"/>
    <n v="252972.23"/>
    <s v="No Failure"/>
    <s v="Fatima Bello"/>
    <s v="Preventive maintenance on Boiler C-121"/>
    <x v="11"/>
    <x v="0"/>
    <x v="2"/>
  </r>
  <r>
    <s v="WO-1305"/>
    <s v="EQ-121"/>
    <s v="Boiler C-121"/>
    <x v="3"/>
    <s v="Medium"/>
    <x v="0"/>
    <s v="2025-12-09"/>
    <s v="2025-12-09 21:44"/>
    <s v="2025-12-09 21:44"/>
    <s v="2025-12-10 19:46"/>
    <n v="14.6"/>
    <n v="283540.98"/>
    <s v="Calibration Drift"/>
    <s v="Fatima Bello"/>
    <s v="Breakdown maintenance on Boiler C-121"/>
    <x v="2"/>
    <x v="0"/>
    <x v="3"/>
  </r>
  <r>
    <s v="WO-1306"/>
    <s v="EQ-121"/>
    <s v="Boiler C-121"/>
    <x v="3"/>
    <s v="Medium"/>
    <x v="0"/>
    <s v="2025-10-09"/>
    <s v="2025-10-09 21:44"/>
    <s v="2025-10-09 21:44"/>
    <s v="2025-10-10 19:46"/>
    <n v="20.9"/>
    <n v="622432.26"/>
    <s v="Mechanical Seal Failure"/>
    <s v="Emeka Okonkwo"/>
    <s v="Breakdown maintenance on Boiler C-121"/>
    <x v="4"/>
    <x v="0"/>
    <x v="3"/>
  </r>
  <r>
    <s v="WO-1307"/>
    <s v="EQ-121"/>
    <s v="Boiler C-121"/>
    <x v="1"/>
    <s v="Medium"/>
    <x v="0"/>
    <s v="2025-12-04"/>
    <s v="2025-12-04 21:44"/>
    <s v="2025-12-04 21:44"/>
    <s v="2025-12-05 18:02"/>
    <n v="12.2"/>
    <n v="123714.35"/>
    <s v="Normal Wear"/>
    <s v="Emeka Okonkwo"/>
    <s v="Corrective maintenance on Boiler C-121"/>
    <x v="2"/>
    <x v="0"/>
    <x v="1"/>
  </r>
  <r>
    <s v="WO-1308"/>
    <s v="EQ-121"/>
    <s v="Boiler C-121"/>
    <x v="0"/>
    <s v="Critical"/>
    <x v="0"/>
    <s v="2025-02-24"/>
    <s v="2025-02-24 21:44"/>
    <s v="2025-02-24 21:44"/>
    <s v="2025-02-25 00:50"/>
    <n v="2"/>
    <n v="39804.379999999997"/>
    <s v="No Failure"/>
    <s v="Tunde Adeleke"/>
    <s v="Inspection maintenance on Boiler C-121"/>
    <x v="10"/>
    <x v="0"/>
    <x v="0"/>
  </r>
  <r>
    <s v="WO-1309"/>
    <s v="EQ-122"/>
    <s v="Boiler C-122"/>
    <x v="2"/>
    <s v="Medium"/>
    <x v="0"/>
    <s v="2025-11-10"/>
    <s v="2025-11-10 21:44"/>
    <s v="2025-11-10 21:44"/>
    <s v="2025-11-11 02:25"/>
    <n v="8.3000000000000007"/>
    <n v="270031.27"/>
    <s v="No Failure"/>
    <s v="Amina Ibrahim"/>
    <s v="Preventive maintenance on Boiler C-122"/>
    <x v="9"/>
    <x v="0"/>
    <x v="2"/>
  </r>
  <r>
    <s v="WO-1310"/>
    <s v="EQ-122"/>
    <s v="Boiler C-122"/>
    <x v="2"/>
    <s v="Medium"/>
    <x v="1"/>
    <s v="2025-05-13"/>
    <s v="2025-05-13 21:44"/>
    <m/>
    <m/>
    <n v="0"/>
    <n v="0"/>
    <m/>
    <s v="Zainab Yusuf"/>
    <s v="Preventive maintenance on Boiler C-122"/>
    <x v="8"/>
    <x v="1"/>
    <x v="2"/>
  </r>
  <r>
    <s v="WO-1311"/>
    <s v="EQ-122"/>
    <s v="Boiler C-122"/>
    <x v="2"/>
    <s v="Critical"/>
    <x v="0"/>
    <s v="2024-12-23"/>
    <s v="2024-12-23 21:44"/>
    <s v="2024-12-23 21:44"/>
    <s v="2024-12-24 08:26"/>
    <n v="11.7"/>
    <n v="208710.14"/>
    <s v="No Failure"/>
    <s v="Aisha Mohammed"/>
    <s v="Preventive maintenance on Boiler C-122"/>
    <x v="12"/>
    <x v="0"/>
    <x v="2"/>
  </r>
  <r>
    <s v="WO-1312"/>
    <s v="EQ-122"/>
    <s v="Boiler C-122"/>
    <x v="0"/>
    <s v="Low"/>
    <x v="2"/>
    <s v="2025-09-21"/>
    <s v="2025-09-21 21:44"/>
    <m/>
    <m/>
    <n v="0"/>
    <n v="0"/>
    <m/>
    <s v="Zainab Yusuf"/>
    <s v="Inspection maintenance on Boiler C-122"/>
    <x v="6"/>
    <x v="2"/>
    <x v="0"/>
  </r>
  <r>
    <s v="WO-1313"/>
    <s v="EQ-122"/>
    <s v="Boiler C-122"/>
    <x v="2"/>
    <s v="Medium"/>
    <x v="0"/>
    <s v="2025-05-16"/>
    <s v="2025-05-16 21:44"/>
    <s v="2025-05-16 21:44"/>
    <s v="2025-05-17 03:07"/>
    <n v="6.9"/>
    <n v="135934.91"/>
    <s v="No Failure"/>
    <s v="John Okafor"/>
    <s v="Preventive maintenance on Boiler C-122"/>
    <x v="8"/>
    <x v="0"/>
    <x v="2"/>
  </r>
  <r>
    <s v="WO-1314"/>
    <s v="EQ-122"/>
    <s v="Boiler C-122"/>
    <x v="2"/>
    <s v="Critical"/>
    <x v="0"/>
    <s v="2025-11-07"/>
    <s v="2025-11-07 21:44"/>
    <s v="2025-11-07 21:44"/>
    <s v="2025-11-08 07:35"/>
    <n v="10.6"/>
    <n v="160321.49"/>
    <s v="No Failure"/>
    <s v="John Okafor"/>
    <s v="Preventive maintenance on Boiler C-122"/>
    <x v="9"/>
    <x v="0"/>
    <x v="2"/>
  </r>
  <r>
    <s v="WO-1315"/>
    <s v="EQ-122"/>
    <s v="Boiler C-122"/>
    <x v="4"/>
    <s v="Critical"/>
    <x v="0"/>
    <s v="2025-07-29"/>
    <s v="2025-07-29 21:44"/>
    <s v="2025-07-29 21:44"/>
    <s v="2025-07-31 17:10"/>
    <n v="86.4"/>
    <n v="658977.46"/>
    <s v="Normal Wear"/>
    <s v="Emeka Okonkwo"/>
    <s v="Overhaul maintenance on Boiler C-122"/>
    <x v="5"/>
    <x v="0"/>
    <x v="4"/>
  </r>
  <r>
    <s v="WO-1316"/>
    <s v="EQ-122"/>
    <s v="Boiler C-122"/>
    <x v="2"/>
    <s v="Low"/>
    <x v="0"/>
    <s v="2025-06-24"/>
    <s v="2025-06-24 21:44"/>
    <s v="2025-06-24 21:44"/>
    <s v="2025-06-25 02:14"/>
    <n v="3.7"/>
    <n v="149085.39000000001"/>
    <s v="No Failure"/>
    <s v="Emeka Okonkwo"/>
    <s v="Preventive maintenance on Boiler C-122"/>
    <x v="11"/>
    <x v="0"/>
    <x v="2"/>
  </r>
  <r>
    <s v="WO-1317"/>
    <s v="EQ-122"/>
    <s v="Boiler C-122"/>
    <x v="3"/>
    <s v="Critical"/>
    <x v="0"/>
    <s v="2025-07-29"/>
    <s v="2025-07-29 21:44"/>
    <s v="2025-07-29 21:44"/>
    <s v="2025-07-31 07:57"/>
    <n v="27.1"/>
    <n v="279619.88"/>
    <s v="Vibration"/>
    <s v="Fatima Bello"/>
    <s v="Breakdown maintenance on Boiler C-122"/>
    <x v="5"/>
    <x v="0"/>
    <x v="3"/>
  </r>
  <r>
    <s v="WO-1318"/>
    <s v="EQ-123"/>
    <s v="Separator C-123"/>
    <x v="1"/>
    <s v="Low"/>
    <x v="0"/>
    <s v="2024-12-26"/>
    <s v="2024-12-26 21:44"/>
    <s v="2024-12-26 21:44"/>
    <s v="2024-12-27 15:39"/>
    <n v="12.4"/>
    <n v="152870.06"/>
    <s v="Mechanical Seal Failure"/>
    <s v="Amina Ibrahim"/>
    <s v="Corrective maintenance on Separator C-123"/>
    <x v="12"/>
    <x v="0"/>
    <x v="1"/>
  </r>
  <r>
    <s v="WO-1319"/>
    <s v="EQ-123"/>
    <s v="Separator C-123"/>
    <x v="2"/>
    <s v="High"/>
    <x v="0"/>
    <s v="2025-02-05"/>
    <s v="2025-02-05 21:44"/>
    <s v="2025-02-05 21:44"/>
    <s v="2025-02-06 07:03"/>
    <n v="10.8"/>
    <n v="84282.32"/>
    <s v="No Failure"/>
    <s v="Chidi Eze"/>
    <s v="Preventive maintenance on Separator C-123"/>
    <x v="10"/>
    <x v="0"/>
    <x v="2"/>
  </r>
  <r>
    <s v="WO-1320"/>
    <s v="EQ-123"/>
    <s v="Separator C-123"/>
    <x v="1"/>
    <s v="Medium"/>
    <x v="0"/>
    <s v="2025-03-05"/>
    <s v="2025-03-05 21:44"/>
    <s v="2025-03-05 21:44"/>
    <s v="2025-03-06 03:06"/>
    <n v="7.3"/>
    <n v="240475.09"/>
    <s v="Lubrication Issue"/>
    <s v="Fatima Bello"/>
    <s v="Corrective maintenance on Separator C-123"/>
    <x v="1"/>
    <x v="0"/>
    <x v="1"/>
  </r>
  <r>
    <s v="WO-1321"/>
    <s v="EQ-123"/>
    <s v="Separator C-123"/>
    <x v="1"/>
    <s v="High"/>
    <x v="0"/>
    <s v="2025-07-20"/>
    <s v="2025-07-20 21:44"/>
    <s v="2025-07-20 21:44"/>
    <s v="2025-07-21 14:04"/>
    <n v="21.9"/>
    <n v="156005.26"/>
    <s v="Corrosion"/>
    <s v="Amina Ibrahim"/>
    <s v="Corrective maintenance on Separator C-123"/>
    <x v="5"/>
    <x v="0"/>
    <x v="1"/>
  </r>
  <r>
    <s v="WO-1322"/>
    <s v="EQ-123"/>
    <s v="Separator C-123"/>
    <x v="1"/>
    <s v="Critical"/>
    <x v="0"/>
    <s v="2025-06-19"/>
    <s v="2025-06-19 21:44"/>
    <s v="2025-06-19 21:44"/>
    <s v="2025-06-20 21:00"/>
    <n v="9.5"/>
    <n v="133699.49"/>
    <s v="Electrical Fault"/>
    <s v="Emeka Okonkwo"/>
    <s v="Corrective maintenance on Separator C-123"/>
    <x v="11"/>
    <x v="0"/>
    <x v="1"/>
  </r>
  <r>
    <s v="WO-1323"/>
    <s v="EQ-123"/>
    <s v="Separator C-123"/>
    <x v="3"/>
    <s v="Medium"/>
    <x v="0"/>
    <s v="2025-11-24"/>
    <s v="2025-11-24 21:44"/>
    <s v="2025-11-24 21:44"/>
    <s v="2025-11-26 16:46"/>
    <n v="15.5"/>
    <n v="435050.61"/>
    <s v="Mechanical Seal Failure"/>
    <s v="John Okafor"/>
    <s v="Breakdown maintenance on Separator C-123"/>
    <x v="9"/>
    <x v="0"/>
    <x v="3"/>
  </r>
  <r>
    <s v="WO-1324"/>
    <s v="EQ-123"/>
    <s v="Separator C-123"/>
    <x v="3"/>
    <s v="Medium"/>
    <x v="0"/>
    <s v="2025-09-01"/>
    <s v="2025-09-01 21:44"/>
    <s v="2025-09-01 21:44"/>
    <s v="2025-09-02 21:10"/>
    <n v="10.8"/>
    <n v="733234.72"/>
    <s v="Vibration"/>
    <s v="John Okafor"/>
    <s v="Breakdown maintenance on Separator C-123"/>
    <x v="6"/>
    <x v="0"/>
    <x v="3"/>
  </r>
  <r>
    <s v="WO-1325"/>
    <s v="EQ-123"/>
    <s v="Separator C-123"/>
    <x v="4"/>
    <s v="Medium"/>
    <x v="1"/>
    <s v="2025-06-02"/>
    <s v="2025-06-02 21:44"/>
    <m/>
    <m/>
    <n v="0"/>
    <n v="0"/>
    <m/>
    <s v="Aisha Mohammed"/>
    <s v="Overhaul maintenance on Separator C-123"/>
    <x v="11"/>
    <x v="1"/>
    <x v="4"/>
  </r>
  <r>
    <s v="WO-1326"/>
    <s v="EQ-123"/>
    <s v="Separator C-123"/>
    <x v="1"/>
    <s v="Critical"/>
    <x v="0"/>
    <s v="2025-08-20"/>
    <s v="2025-08-20 21:44"/>
    <s v="2025-08-20 21:44"/>
    <s v="2025-08-21 20:50"/>
    <n v="5.4"/>
    <n v="204874.11"/>
    <s v="Corrosion"/>
    <s v="John Okafor"/>
    <s v="Corrective maintenance on Separator C-123"/>
    <x v="7"/>
    <x v="0"/>
    <x v="1"/>
  </r>
  <r>
    <s v="WO-1327"/>
    <s v="EQ-123"/>
    <s v="Separator C-123"/>
    <x v="0"/>
    <s v="Medium"/>
    <x v="0"/>
    <s v="2025-07-13"/>
    <s v="2025-07-13 21:44"/>
    <s v="2025-07-13 21:44"/>
    <s v="2025-07-14 00:15"/>
    <n v="2.2000000000000002"/>
    <n v="76144.850000000006"/>
    <s v="No Failure"/>
    <s v="Amina Ibrahim"/>
    <s v="Inspection maintenance on Separator C-123"/>
    <x v="5"/>
    <x v="0"/>
    <x v="0"/>
  </r>
  <r>
    <s v="WO-1328"/>
    <s v="EQ-124"/>
    <s v="Diesel Generator C-124"/>
    <x v="1"/>
    <s v="Medium"/>
    <x v="0"/>
    <s v="2025-03-10"/>
    <s v="2025-03-10 21:44"/>
    <s v="2025-03-10 21:44"/>
    <s v="2025-03-11 07:17"/>
    <n v="8.1"/>
    <n v="423224.03"/>
    <s v="Calibration Drift"/>
    <s v="Aisha Mohammed"/>
    <s v="Corrective maintenance on Diesel Generator C-124"/>
    <x v="1"/>
    <x v="0"/>
    <x v="1"/>
  </r>
  <r>
    <s v="WO-1329"/>
    <s v="EQ-124"/>
    <s v="Diesel Generator C-124"/>
    <x v="2"/>
    <s v="Medium"/>
    <x v="0"/>
    <s v="2025-11-11"/>
    <s v="2025-11-11 21:44"/>
    <s v="2025-11-11 21:44"/>
    <s v="2025-11-12 07:22"/>
    <n v="5.0999999999999996"/>
    <n v="159371.51"/>
    <s v="No Failure"/>
    <s v="Fatima Bello"/>
    <s v="Preventive maintenance on Diesel Generator C-124"/>
    <x v="9"/>
    <x v="0"/>
    <x v="2"/>
  </r>
  <r>
    <s v="WO-1330"/>
    <s v="EQ-124"/>
    <s v="Diesel Generator C-124"/>
    <x v="2"/>
    <s v="Medium"/>
    <x v="0"/>
    <s v="2025-02-04"/>
    <s v="2025-02-04 21:44"/>
    <s v="2025-02-04 21:44"/>
    <s v="2025-02-05 08:59"/>
    <n v="2.6"/>
    <n v="216519.89"/>
    <s v="No Failure"/>
    <s v="Chidi Eze"/>
    <s v="Preventive maintenance on Diesel Generator C-124"/>
    <x v="10"/>
    <x v="0"/>
    <x v="2"/>
  </r>
  <r>
    <s v="WO-1331"/>
    <s v="EQ-124"/>
    <s v="Diesel Generator C-124"/>
    <x v="2"/>
    <s v="Medium"/>
    <x v="0"/>
    <s v="2025-12-19"/>
    <s v="2025-12-19 21:44"/>
    <s v="2025-12-19 21:44"/>
    <s v="2025-12-20 01:07"/>
    <n v="5.5"/>
    <n v="179305.71"/>
    <s v="No Failure"/>
    <s v="Emeka Okonkwo"/>
    <s v="Preventive maintenance on Diesel Generator C-124"/>
    <x v="2"/>
    <x v="0"/>
    <x v="2"/>
  </r>
  <r>
    <s v="WO-1332"/>
    <s v="EQ-124"/>
    <s v="Diesel Generator C-124"/>
    <x v="2"/>
    <s v="Medium"/>
    <x v="1"/>
    <s v="2025-02-24"/>
    <s v="2025-02-24 21:44"/>
    <m/>
    <m/>
    <n v="0"/>
    <n v="0"/>
    <m/>
    <s v="Amina Ibrahim"/>
    <s v="Preventive maintenance on Diesel Generator C-124"/>
    <x v="10"/>
    <x v="1"/>
    <x v="2"/>
  </r>
  <r>
    <s v="WO-1333"/>
    <s v="EQ-124"/>
    <s v="Diesel Generator C-124"/>
    <x v="3"/>
    <s v="Critical"/>
    <x v="0"/>
    <s v="2025-06-11"/>
    <s v="2025-06-11 21:44"/>
    <s v="2025-06-11 21:44"/>
    <s v="2025-06-13 14:01"/>
    <n v="36.5"/>
    <n v="545991"/>
    <s v="Mechanical Seal Failure"/>
    <s v="Amina Ibrahim"/>
    <s v="Breakdown maintenance on Diesel Generator C-124"/>
    <x v="11"/>
    <x v="0"/>
    <x v="3"/>
  </r>
  <r>
    <s v="WO-1334"/>
    <s v="EQ-124"/>
    <s v="Diesel Generator C-124"/>
    <x v="2"/>
    <s v="Medium"/>
    <x v="0"/>
    <s v="2025-09-09"/>
    <s v="2025-09-09 21:44"/>
    <s v="2025-09-09 21:44"/>
    <s v="2025-09-10 03:20"/>
    <n v="5.7"/>
    <n v="113779.02"/>
    <s v="No Failure"/>
    <s v="Amina Ibrahim"/>
    <s v="Preventive maintenance on Diesel Generator C-124"/>
    <x v="6"/>
    <x v="0"/>
    <x v="2"/>
  </r>
  <r>
    <s v="WO-1335"/>
    <s v="EQ-124"/>
    <s v="Diesel Generator C-124"/>
    <x v="0"/>
    <s v="Medium"/>
    <x v="0"/>
    <s v="2025-12-02"/>
    <s v="2025-12-02 21:44"/>
    <s v="2025-12-02 21:44"/>
    <s v="2025-12-03 00:54"/>
    <n v="1.1000000000000001"/>
    <n v="89034.28"/>
    <s v="No Failure"/>
    <s v="Fatima Bello"/>
    <s v="Inspection maintenance on Diesel Generator C-124"/>
    <x v="2"/>
    <x v="0"/>
    <x v="0"/>
  </r>
  <r>
    <s v="WO-1336"/>
    <s v="EQ-125"/>
    <s v="Control Valve C-125"/>
    <x v="2"/>
    <s v="Low"/>
    <x v="0"/>
    <s v="2025-07-06"/>
    <s v="2025-07-06 21:44"/>
    <s v="2025-07-06 21:44"/>
    <s v="2025-07-07 08:56"/>
    <n v="2.4"/>
    <n v="250778.87"/>
    <s v="No Failure"/>
    <s v="Tunde Adeleke"/>
    <s v="Preventive maintenance on Control Valve C-125"/>
    <x v="5"/>
    <x v="0"/>
    <x v="2"/>
  </r>
  <r>
    <s v="WO-1337"/>
    <s v="EQ-125"/>
    <s v="Control Valve C-125"/>
    <x v="2"/>
    <s v="High"/>
    <x v="0"/>
    <s v="2025-04-28"/>
    <s v="2025-04-28 21:44"/>
    <s v="2025-04-28 21:44"/>
    <s v="2025-04-29 03:54"/>
    <n v="2.8"/>
    <n v="143202.04"/>
    <s v="No Failure"/>
    <s v="John Okafor"/>
    <s v="Preventive maintenance on Control Valve C-125"/>
    <x v="3"/>
    <x v="0"/>
    <x v="2"/>
  </r>
  <r>
    <s v="WO-1338"/>
    <s v="EQ-125"/>
    <s v="Control Valve C-125"/>
    <x v="2"/>
    <s v="Critical"/>
    <x v="2"/>
    <s v="2025-09-12"/>
    <s v="2025-09-12 21:44"/>
    <m/>
    <m/>
    <n v="0"/>
    <n v="0"/>
    <m/>
    <s v="Zainab Yusuf"/>
    <s v="Preventive maintenance on Control Valve C-125"/>
    <x v="6"/>
    <x v="2"/>
    <x v="2"/>
  </r>
  <r>
    <s v="WO-1339"/>
    <s v="EQ-125"/>
    <s v="Control Valve C-125"/>
    <x v="0"/>
    <s v="Critical"/>
    <x v="0"/>
    <s v="2025-05-30"/>
    <s v="2025-05-30 21:44"/>
    <s v="2025-05-30 21:44"/>
    <s v="2025-05-30 23:43"/>
    <n v="1.6"/>
    <n v="65104.54"/>
    <s v="No Failure"/>
    <s v="Emeka Okonkwo"/>
    <s v="Inspection maintenance on Control Valve C-125"/>
    <x v="8"/>
    <x v="0"/>
    <x v="0"/>
  </r>
  <r>
    <s v="WO-1340"/>
    <s v="EQ-125"/>
    <s v="Control Valve C-125"/>
    <x v="3"/>
    <s v="Low"/>
    <x v="2"/>
    <s v="2025-08-16"/>
    <s v="2025-08-16 21:44"/>
    <m/>
    <m/>
    <n v="0"/>
    <n v="0"/>
    <m/>
    <s v="Fatima Bello"/>
    <s v="Breakdown maintenance on Control Valve C-125"/>
    <x v="7"/>
    <x v="2"/>
    <x v="3"/>
  </r>
  <r>
    <s v="WO-1341"/>
    <s v="EQ-125"/>
    <s v="Control Valve C-125"/>
    <x v="3"/>
    <s v="Critical"/>
    <x v="2"/>
    <s v="2025-04-26"/>
    <s v="2025-04-26 21:44"/>
    <m/>
    <m/>
    <n v="0"/>
    <n v="0"/>
    <m/>
    <s v="Aisha Mohammed"/>
    <s v="Breakdown maintenance on Control Valve C-125"/>
    <x v="3"/>
    <x v="2"/>
    <x v="3"/>
  </r>
  <r>
    <s v="WO-1342"/>
    <s v="EQ-125"/>
    <s v="Control Valve C-125"/>
    <x v="1"/>
    <s v="Medium"/>
    <x v="0"/>
    <s v="2024-12-26"/>
    <s v="2024-12-26 21:44"/>
    <s v="2024-12-26 21:44"/>
    <s v="2024-12-27 20:45"/>
    <n v="21"/>
    <n v="390886.02"/>
    <s v="No Failure"/>
    <s v="Amina Ibrahim"/>
    <s v="Corrective maintenance on Control Valve C-125"/>
    <x v="12"/>
    <x v="0"/>
    <x v="1"/>
  </r>
  <r>
    <s v="WO-1343"/>
    <s v="EQ-125"/>
    <s v="Control Valve C-125"/>
    <x v="2"/>
    <s v="Low"/>
    <x v="2"/>
    <s v="2025-04-22"/>
    <s v="2025-04-22 21:44"/>
    <m/>
    <m/>
    <n v="0"/>
    <n v="0"/>
    <m/>
    <s v="Chidi Eze"/>
    <s v="Preventive maintenance on Control Valve C-125"/>
    <x v="3"/>
    <x v="2"/>
    <x v="2"/>
  </r>
  <r>
    <s v="WO-1344"/>
    <s v="EQ-125"/>
    <s v="Control Valve C-125"/>
    <x v="3"/>
    <s v="Medium"/>
    <x v="1"/>
    <s v="2025-01-13"/>
    <s v="2025-01-13 21:44"/>
    <m/>
    <m/>
    <n v="0"/>
    <n v="0"/>
    <m/>
    <s v="Aisha Mohammed"/>
    <s v="Breakdown maintenance on Control Valve C-125"/>
    <x v="0"/>
    <x v="1"/>
    <x v="3"/>
  </r>
  <r>
    <s v="WO-1345"/>
    <s v="EQ-125"/>
    <s v="Control Valve C-125"/>
    <x v="2"/>
    <s v="Medium"/>
    <x v="0"/>
    <s v="2025-02-03"/>
    <s v="2025-02-03 21:44"/>
    <s v="2025-02-03 21:44"/>
    <s v="2025-02-04 05:33"/>
    <n v="5.9"/>
    <n v="197973.94"/>
    <s v="No Failure"/>
    <s v="John Okafor"/>
    <s v="Preventive maintenance on Control Valve C-125"/>
    <x v="10"/>
    <x v="0"/>
    <x v="2"/>
  </r>
  <r>
    <s v="WO-1346"/>
    <s v="EQ-126"/>
    <s v="Gas Turbine C-126"/>
    <x v="1"/>
    <s v="Low"/>
    <x v="1"/>
    <s v="2025-04-22"/>
    <s v="2025-04-22 21:44"/>
    <m/>
    <m/>
    <n v="0"/>
    <n v="0"/>
    <m/>
    <s v="Tunde Adeleke"/>
    <s v="Corrective maintenance on Gas Turbine C-126"/>
    <x v="3"/>
    <x v="1"/>
    <x v="1"/>
  </r>
  <r>
    <s v="WO-1347"/>
    <s v="EQ-126"/>
    <s v="Gas Turbine C-126"/>
    <x v="3"/>
    <s v="Low"/>
    <x v="0"/>
    <s v="2025-06-02"/>
    <s v="2025-06-02 21:44"/>
    <s v="2025-06-02 21:44"/>
    <s v="2025-06-03 23:51"/>
    <n v="13.4"/>
    <n v="662087.97"/>
    <s v="Leakage"/>
    <s v="Amina Ibrahim"/>
    <s v="Breakdown maintenance on Gas Turbine C-126"/>
    <x v="11"/>
    <x v="0"/>
    <x v="3"/>
  </r>
  <r>
    <s v="WO-1348"/>
    <s v="EQ-126"/>
    <s v="Gas Turbine C-126"/>
    <x v="2"/>
    <s v="Critical"/>
    <x v="0"/>
    <s v="2025-03-16"/>
    <s v="2025-03-16 21:44"/>
    <s v="2025-03-16 21:44"/>
    <s v="2025-03-17 04:14"/>
    <n v="5.6"/>
    <n v="242584.19"/>
    <s v="No Failure"/>
    <s v="Zainab Yusuf"/>
    <s v="Preventive maintenance on Gas Turbine C-126"/>
    <x v="1"/>
    <x v="0"/>
    <x v="2"/>
  </r>
  <r>
    <s v="WO-1349"/>
    <s v="EQ-126"/>
    <s v="Gas Turbine C-126"/>
    <x v="2"/>
    <s v="Low"/>
    <x v="0"/>
    <s v="2025-05-06"/>
    <s v="2025-05-06 21:44"/>
    <s v="2025-05-06 21:44"/>
    <s v="2025-05-07 08:16"/>
    <n v="5"/>
    <n v="226176.2"/>
    <s v="No Failure"/>
    <s v="John Okafor"/>
    <s v="Preventive maintenance on Gas Turbine C-126"/>
    <x v="8"/>
    <x v="0"/>
    <x v="2"/>
  </r>
  <r>
    <s v="WO-1350"/>
    <s v="EQ-126"/>
    <s v="Gas Turbine C-126"/>
    <x v="2"/>
    <s v="Low"/>
    <x v="0"/>
    <s v="2025-06-07"/>
    <s v="2025-06-07 21:44"/>
    <s v="2025-06-07 21:44"/>
    <s v="2025-06-08 01:13"/>
    <n v="6"/>
    <n v="62237.65"/>
    <s v="No Failure"/>
    <s v="Emeka Okonkwo"/>
    <s v="Preventive maintenance on Gas Turbine C-126"/>
    <x v="11"/>
    <x v="0"/>
    <x v="2"/>
  </r>
  <r>
    <s v="WO-1351"/>
    <s v="EQ-126"/>
    <s v="Gas Turbine C-126"/>
    <x v="2"/>
    <s v="Medium"/>
    <x v="0"/>
    <s v="2025-03-21"/>
    <s v="2025-03-21 21:44"/>
    <s v="2025-03-21 21:44"/>
    <s v="2025-03-22 00:03"/>
    <n v="9.5"/>
    <n v="112463.16"/>
    <s v="No Failure"/>
    <s v="Zainab Yusuf"/>
    <s v="Preventive maintenance on Gas Turbine C-126"/>
    <x v="1"/>
    <x v="0"/>
    <x v="2"/>
  </r>
  <r>
    <s v="WO-1352"/>
    <s v="EQ-126"/>
    <s v="Gas Turbine C-126"/>
    <x v="2"/>
    <s v="Medium"/>
    <x v="0"/>
    <s v="2025-03-03"/>
    <s v="2025-03-03 21:44"/>
    <s v="2025-03-03 21:44"/>
    <s v="2025-03-04 00:57"/>
    <n v="4.2"/>
    <n v="99533.26"/>
    <s v="No Failure"/>
    <s v="Tunde Adeleke"/>
    <s v="Preventive maintenance on Gas Turbine C-126"/>
    <x v="1"/>
    <x v="0"/>
    <x v="2"/>
  </r>
  <r>
    <s v="WO-1353"/>
    <s v="EQ-126"/>
    <s v="Gas Turbine C-126"/>
    <x v="2"/>
    <s v="Medium"/>
    <x v="0"/>
    <s v="2025-11-09"/>
    <s v="2025-11-09 21:44"/>
    <s v="2025-11-09 21:44"/>
    <s v="2025-11-10 09:07"/>
    <n v="11.2"/>
    <n v="68746.8"/>
    <s v="No Failure"/>
    <s v="Amina Ibrahim"/>
    <s v="Preventive maintenance on Gas Turbine C-126"/>
    <x v="9"/>
    <x v="0"/>
    <x v="2"/>
  </r>
  <r>
    <s v="WO-1354"/>
    <s v="EQ-126"/>
    <s v="Gas Turbine C-126"/>
    <x v="2"/>
    <s v="Low"/>
    <x v="0"/>
    <s v="2025-11-17"/>
    <s v="2025-11-17 21:44"/>
    <s v="2025-11-17 21:44"/>
    <s v="2025-11-18 04:10"/>
    <n v="10.3"/>
    <n v="132887.47"/>
    <s v="No Failure"/>
    <s v="John Okafor"/>
    <s v="Preventive maintenance on Gas Turbine C-126"/>
    <x v="9"/>
    <x v="0"/>
    <x v="2"/>
  </r>
  <r>
    <s v="WO-1355"/>
    <s v="EQ-126"/>
    <s v="Gas Turbine C-126"/>
    <x v="0"/>
    <s v="Low"/>
    <x v="0"/>
    <s v="2025-01-16"/>
    <s v="2025-01-16 21:44"/>
    <s v="2025-01-16 21:44"/>
    <s v="2025-01-16 23:14"/>
    <n v="2.2000000000000002"/>
    <n v="22358.58"/>
    <s v="No Failure"/>
    <s v="Tunde Adeleke"/>
    <s v="Inspection maintenance on Gas Turbine C-126"/>
    <x v="0"/>
    <x v="0"/>
    <x v="0"/>
  </r>
  <r>
    <s v="WO-1356"/>
    <s v="EQ-126"/>
    <s v="Gas Turbine C-126"/>
    <x v="2"/>
    <s v="Medium"/>
    <x v="0"/>
    <s v="2025-04-10"/>
    <s v="2025-04-10 21:44"/>
    <s v="2025-04-10 21:44"/>
    <s v="2025-04-11 08:49"/>
    <n v="3.5"/>
    <n v="203526.64"/>
    <s v="No Failure"/>
    <s v="Fatima Bello"/>
    <s v="Preventive maintenance on Gas Turbine C-126"/>
    <x v="3"/>
    <x v="0"/>
    <x v="2"/>
  </r>
  <r>
    <s v="WO-1357"/>
    <s v="EQ-126"/>
    <s v="Gas Turbine C-126"/>
    <x v="1"/>
    <s v="Critical"/>
    <x v="0"/>
    <s v="2025-07-20"/>
    <s v="2025-07-20 21:44"/>
    <s v="2025-07-20 21:44"/>
    <s v="2025-07-21 19:24"/>
    <n v="11.7"/>
    <n v="267693.93"/>
    <s v="Control System Error"/>
    <s v="Fatima Bello"/>
    <s v="Corrective maintenance on Gas Turbine C-126"/>
    <x v="5"/>
    <x v="0"/>
    <x v="1"/>
  </r>
  <r>
    <s v="WO-1358"/>
    <s v="EQ-126"/>
    <s v="Gas Turbine C-126"/>
    <x v="1"/>
    <s v="High"/>
    <x v="0"/>
    <s v="2024-12-31"/>
    <s v="2024-12-31 21:44"/>
    <s v="2024-12-31 21:44"/>
    <s v="2025-01-01 21:32"/>
    <n v="14.9"/>
    <n v="293871.78999999998"/>
    <s v="Normal Wear"/>
    <s v="Aisha Mohammed"/>
    <s v="Corrective maintenance on Gas Turbine C-126"/>
    <x v="12"/>
    <x v="0"/>
    <x v="1"/>
  </r>
  <r>
    <s v="WO-1359"/>
    <s v="EQ-126"/>
    <s v="Gas Turbine C-126"/>
    <x v="2"/>
    <s v="Critical"/>
    <x v="0"/>
    <s v="2025-03-24"/>
    <s v="2025-03-24 21:44"/>
    <s v="2025-03-24 21:44"/>
    <s v="2025-03-25 00:00"/>
    <n v="10.1"/>
    <n v="120233.17"/>
    <s v="No Failure"/>
    <s v="Zainab Yusuf"/>
    <s v="Preventive maintenance on Gas Turbine C-126"/>
    <x v="1"/>
    <x v="0"/>
    <x v="2"/>
  </r>
  <r>
    <s v="WO-1360"/>
    <s v="EQ-126"/>
    <s v="Gas Turbine C-126"/>
    <x v="1"/>
    <s v="Medium"/>
    <x v="0"/>
    <s v="2025-04-20"/>
    <s v="2025-04-20 21:44"/>
    <s v="2025-04-20 21:44"/>
    <s v="2025-04-21 21:13"/>
    <n v="9.3000000000000007"/>
    <n v="426514.06"/>
    <s v="Calibration Drift"/>
    <s v="John Okafor"/>
    <s v="Corrective maintenance on Gas Turbine C-126"/>
    <x v="3"/>
    <x v="0"/>
    <x v="1"/>
  </r>
  <r>
    <s v="WO-1361"/>
    <s v="EQ-126"/>
    <s v="Gas Turbine C-126"/>
    <x v="3"/>
    <s v="High"/>
    <x v="0"/>
    <s v="2025-10-12"/>
    <s v="2025-10-12 21:44"/>
    <s v="2025-10-12 21:44"/>
    <s v="2025-10-14 15:36"/>
    <n v="41.6"/>
    <n v="707132.54"/>
    <s v="Vibration"/>
    <s v="Chidi Eze"/>
    <s v="Breakdown maintenance on Gas Turbine C-126"/>
    <x v="4"/>
    <x v="0"/>
    <x v="3"/>
  </r>
  <r>
    <s v="WO-1362"/>
    <s v="EQ-127"/>
    <s v="Reactor C-127"/>
    <x v="1"/>
    <s v="Medium"/>
    <x v="0"/>
    <s v="2025-12-14"/>
    <s v="2025-12-14 21:44"/>
    <s v="2025-12-14 21:44"/>
    <s v="2025-12-15 08:55"/>
    <n v="11"/>
    <n v="327060.55"/>
    <s v="No Failure"/>
    <s v="Chidi Eze"/>
    <s v="Corrective maintenance on Reactor C-127"/>
    <x v="2"/>
    <x v="0"/>
    <x v="1"/>
  </r>
  <r>
    <s v="WO-1363"/>
    <s v="EQ-127"/>
    <s v="Reactor C-127"/>
    <x v="1"/>
    <s v="Critical"/>
    <x v="0"/>
    <s v="2025-08-31"/>
    <s v="2025-08-31 21:44"/>
    <s v="2025-08-31 21:44"/>
    <s v="2025-09-01 12:35"/>
    <n v="5.0999999999999996"/>
    <n v="340665.11"/>
    <s v="Vibration"/>
    <s v="John Okafor"/>
    <s v="Corrective maintenance on Reactor C-127"/>
    <x v="7"/>
    <x v="0"/>
    <x v="1"/>
  </r>
  <r>
    <s v="WO-1364"/>
    <s v="EQ-127"/>
    <s v="Reactor C-127"/>
    <x v="1"/>
    <s v="Critical"/>
    <x v="0"/>
    <s v="2025-06-09"/>
    <s v="2025-06-09 21:44"/>
    <s v="2025-06-09 21:44"/>
    <s v="2025-06-10 20:06"/>
    <n v="18.3"/>
    <n v="467512.31"/>
    <s v="Mechanical Seal Failure"/>
    <s v="Aisha Mohammed"/>
    <s v="Corrective maintenance on Reactor C-127"/>
    <x v="11"/>
    <x v="0"/>
    <x v="1"/>
  </r>
  <r>
    <s v="WO-1365"/>
    <s v="EQ-127"/>
    <s v="Reactor C-127"/>
    <x v="2"/>
    <s v="Medium"/>
    <x v="1"/>
    <s v="2025-03-07"/>
    <s v="2025-03-07 21:44"/>
    <m/>
    <m/>
    <n v="0"/>
    <n v="0"/>
    <m/>
    <s v="Aisha Mohammed"/>
    <s v="Preventive maintenance on Reactor C-127"/>
    <x v="1"/>
    <x v="1"/>
    <x v="2"/>
  </r>
  <r>
    <s v="WO-1366"/>
    <s v="EQ-127"/>
    <s v="Reactor C-127"/>
    <x v="4"/>
    <s v="Medium"/>
    <x v="0"/>
    <s v="2025-07-01"/>
    <s v="2025-07-01 21:44"/>
    <s v="2025-07-01 21:44"/>
    <s v="2025-07-05 17:22"/>
    <n v="56.3"/>
    <n v="822603.2"/>
    <s v="Normal Wear"/>
    <s v="Chidi Eze"/>
    <s v="Overhaul maintenance on Reactor C-127"/>
    <x v="5"/>
    <x v="0"/>
    <x v="4"/>
  </r>
  <r>
    <s v="WO-1367"/>
    <s v="EQ-127"/>
    <s v="Reactor C-127"/>
    <x v="3"/>
    <s v="High"/>
    <x v="0"/>
    <s v="2025-11-14"/>
    <s v="2025-11-14 21:44"/>
    <s v="2025-11-14 21:44"/>
    <s v="2025-11-16 20:10"/>
    <n v="46.7"/>
    <n v="616136.24"/>
    <s v="Electrical Fault"/>
    <s v="Aisha Mohammed"/>
    <s v="Breakdown maintenance on Reactor C-127"/>
    <x v="9"/>
    <x v="0"/>
    <x v="3"/>
  </r>
  <r>
    <s v="WO-1368"/>
    <s v="EQ-127"/>
    <s v="Reactor C-127"/>
    <x v="2"/>
    <s v="Medium"/>
    <x v="0"/>
    <s v="2025-10-19"/>
    <s v="2025-10-19 21:44"/>
    <s v="2025-10-19 21:44"/>
    <s v="2025-10-20 07:53"/>
    <n v="4.9000000000000004"/>
    <n v="94427.07"/>
    <s v="No Failure"/>
    <s v="John Okafor"/>
    <s v="Preventive maintenance on Reactor C-127"/>
    <x v="4"/>
    <x v="0"/>
    <x v="2"/>
  </r>
  <r>
    <s v="WO-1369"/>
    <s v="EQ-128"/>
    <s v="Heat Exchanger C-128"/>
    <x v="0"/>
    <s v="Medium"/>
    <x v="0"/>
    <s v="2025-07-10"/>
    <s v="2025-07-10 21:44"/>
    <s v="2025-07-10 21:44"/>
    <s v="2025-07-11 01:17"/>
    <n v="1.5"/>
    <n v="45457.35"/>
    <s v="No Failure"/>
    <s v="Fatima Bello"/>
    <s v="Inspection maintenance on Heat Exchanger C-128"/>
    <x v="5"/>
    <x v="0"/>
    <x v="0"/>
  </r>
  <r>
    <s v="WO-1370"/>
    <s v="EQ-128"/>
    <s v="Heat Exchanger C-128"/>
    <x v="1"/>
    <s v="High"/>
    <x v="0"/>
    <s v="2025-09-02"/>
    <s v="2025-09-02 21:44"/>
    <s v="2025-09-02 21:44"/>
    <s v="2025-09-03 04:33"/>
    <n v="23.6"/>
    <n v="167154.97"/>
    <s v="Bearing Wear"/>
    <s v="Amina Ibrahim"/>
    <s v="Corrective maintenance on Heat Exchanger C-128"/>
    <x v="6"/>
    <x v="0"/>
    <x v="1"/>
  </r>
  <r>
    <s v="WO-1371"/>
    <s v="EQ-128"/>
    <s v="Heat Exchanger C-128"/>
    <x v="3"/>
    <s v="Critical"/>
    <x v="0"/>
    <s v="2025-11-14"/>
    <s v="2025-11-14 21:44"/>
    <s v="2025-11-14 21:44"/>
    <s v="2025-11-16 10:55"/>
    <n v="16.399999999999999"/>
    <n v="615905.65"/>
    <s v="Lubrication Issue"/>
    <s v="Aisha Mohammed"/>
    <s v="Breakdown maintenance on Heat Exchanger C-128"/>
    <x v="9"/>
    <x v="0"/>
    <x v="3"/>
  </r>
  <r>
    <s v="WO-1372"/>
    <s v="EQ-128"/>
    <s v="Heat Exchanger C-128"/>
    <x v="2"/>
    <s v="Medium"/>
    <x v="0"/>
    <s v="2025-02-15"/>
    <s v="2025-02-15 21:44"/>
    <s v="2025-02-15 21:44"/>
    <s v="2025-02-16 06:56"/>
    <n v="6.2"/>
    <n v="91584.61"/>
    <s v="No Failure"/>
    <s v="Tunde Adeleke"/>
    <s v="Preventive maintenance on Heat Exchanger C-128"/>
    <x v="10"/>
    <x v="0"/>
    <x v="2"/>
  </r>
  <r>
    <s v="WO-1373"/>
    <s v="EQ-128"/>
    <s v="Heat Exchanger C-128"/>
    <x v="2"/>
    <s v="Low"/>
    <x v="0"/>
    <s v="2025-07-03"/>
    <s v="2025-07-03 21:44"/>
    <s v="2025-07-03 21:44"/>
    <s v="2025-07-04 03:15"/>
    <n v="9.9"/>
    <n v="194513.87"/>
    <s v="No Failure"/>
    <s v="Fatima Bello"/>
    <s v="Preventive maintenance on Heat Exchanger C-128"/>
    <x v="5"/>
    <x v="0"/>
    <x v="2"/>
  </r>
  <r>
    <s v="WO-1374"/>
    <s v="EQ-128"/>
    <s v="Heat Exchanger C-128"/>
    <x v="2"/>
    <s v="Critical"/>
    <x v="0"/>
    <s v="2025-01-28"/>
    <s v="2025-01-28 21:44"/>
    <s v="2025-01-28 21:44"/>
    <s v="2025-01-29 07:44"/>
    <n v="4.5999999999999996"/>
    <n v="76181.259999999995"/>
    <s v="No Failure"/>
    <s v="Aisha Mohammed"/>
    <s v="Preventive maintenance on Heat Exchanger C-128"/>
    <x v="0"/>
    <x v="0"/>
    <x v="2"/>
  </r>
  <r>
    <s v="WO-1375"/>
    <s v="EQ-128"/>
    <s v="Heat Exchanger C-128"/>
    <x v="2"/>
    <s v="Low"/>
    <x v="0"/>
    <s v="2025-07-02"/>
    <s v="2025-07-02 21:44"/>
    <s v="2025-07-02 21:44"/>
    <s v="2025-07-03 01:21"/>
    <n v="11.8"/>
    <n v="134487.65"/>
    <s v="No Failure"/>
    <s v="Zainab Yusuf"/>
    <s v="Preventive maintenance on Heat Exchanger C-128"/>
    <x v="5"/>
    <x v="0"/>
    <x v="2"/>
  </r>
  <r>
    <s v="WO-1376"/>
    <s v="EQ-128"/>
    <s v="Heat Exchanger C-128"/>
    <x v="3"/>
    <s v="High"/>
    <x v="1"/>
    <s v="2025-11-21"/>
    <s v="2025-11-21 21:44"/>
    <m/>
    <m/>
    <n v="0"/>
    <n v="0"/>
    <m/>
    <s v="Amina Ibrahim"/>
    <s v="Breakdown maintenance on Heat Exchanger C-128"/>
    <x v="9"/>
    <x v="1"/>
    <x v="3"/>
  </r>
  <r>
    <s v="WO-1377"/>
    <s v="EQ-128"/>
    <s v="Heat Exchanger C-128"/>
    <x v="2"/>
    <s v="Low"/>
    <x v="0"/>
    <s v="2025-03-29"/>
    <s v="2025-03-29 21:44"/>
    <s v="2025-03-29 21:44"/>
    <s v="2025-03-30 03:50"/>
    <n v="7.4"/>
    <n v="215149.47"/>
    <s v="No Failure"/>
    <s v="Emeka Okonkwo"/>
    <s v="Preventive maintenance on Heat Exchanger C-128"/>
    <x v="1"/>
    <x v="0"/>
    <x v="2"/>
  </r>
  <r>
    <s v="WO-1378"/>
    <s v="EQ-128"/>
    <s v="Heat Exchanger C-128"/>
    <x v="2"/>
    <s v="Medium"/>
    <x v="0"/>
    <s v="2025-01-16"/>
    <s v="2025-01-16 21:44"/>
    <s v="2025-01-16 21:44"/>
    <s v="2025-01-17 03:40"/>
    <n v="2.5"/>
    <n v="50953.89"/>
    <s v="No Failure"/>
    <s v="Amina Ibrahim"/>
    <s v="Preventive maintenance on Heat Exchanger C-128"/>
    <x v="0"/>
    <x v="0"/>
    <x v="2"/>
  </r>
  <r>
    <s v="WO-1379"/>
    <s v="EQ-128"/>
    <s v="Heat Exchanger C-128"/>
    <x v="2"/>
    <s v="Critical"/>
    <x v="0"/>
    <s v="2025-11-25"/>
    <s v="2025-11-25 21:44"/>
    <s v="2025-11-25 21:44"/>
    <s v="2025-11-26 05:59"/>
    <n v="4.0999999999999996"/>
    <n v="209547.66"/>
    <s v="No Failure"/>
    <s v="Amina Ibrahim"/>
    <s v="Preventive maintenance on Heat Exchanger C-128"/>
    <x v="9"/>
    <x v="0"/>
    <x v="2"/>
  </r>
  <r>
    <s v="WO-1380"/>
    <s v="EQ-129"/>
    <s v="Centrifugal Pump C-129"/>
    <x v="3"/>
    <s v="High"/>
    <x v="1"/>
    <s v="2025-07-13"/>
    <s v="2025-07-13 21:44"/>
    <m/>
    <m/>
    <n v="0"/>
    <n v="0"/>
    <m/>
    <s v="Tunde Adeleke"/>
    <s v="Breakdown maintenance on Centrifugal Pump C-129"/>
    <x v="5"/>
    <x v="1"/>
    <x v="3"/>
  </r>
  <r>
    <s v="WO-1381"/>
    <s v="EQ-129"/>
    <s v="Centrifugal Pump C-129"/>
    <x v="2"/>
    <s v="High"/>
    <x v="0"/>
    <s v="2025-07-05"/>
    <s v="2025-07-05 21:44"/>
    <s v="2025-07-05 21:44"/>
    <s v="2025-07-06 03:26"/>
    <n v="6.7"/>
    <n v="106560.57"/>
    <s v="No Failure"/>
    <s v="Emeka Okonkwo"/>
    <s v="Preventive maintenance on Centrifugal Pump C-129"/>
    <x v="5"/>
    <x v="0"/>
    <x v="2"/>
  </r>
  <r>
    <s v="WO-1382"/>
    <s v="EQ-129"/>
    <s v="Centrifugal Pump C-129"/>
    <x v="1"/>
    <s v="High"/>
    <x v="0"/>
    <s v="2025-12-13"/>
    <s v="2025-12-13 21:44"/>
    <s v="2025-12-13 21:44"/>
    <s v="2025-12-14 15:05"/>
    <n v="14.8"/>
    <n v="488282.21"/>
    <s v="Corrosion"/>
    <s v="Fatima Bello"/>
    <s v="Corrective maintenance on Centrifugal Pump C-129"/>
    <x v="2"/>
    <x v="0"/>
    <x v="1"/>
  </r>
  <r>
    <s v="WO-1383"/>
    <s v="EQ-129"/>
    <s v="Centrifugal Pump C-129"/>
    <x v="1"/>
    <s v="Low"/>
    <x v="0"/>
    <s v="2025-09-15"/>
    <s v="2025-09-15 21:44"/>
    <s v="2025-09-15 21:44"/>
    <s v="2025-09-16 10:07"/>
    <n v="13.5"/>
    <n v="452661.55"/>
    <s v="Electrical Fault"/>
    <s v="Zainab Yusuf"/>
    <s v="Corrective maintenance on Centrifugal Pump C-129"/>
    <x v="6"/>
    <x v="0"/>
    <x v="1"/>
  </r>
  <r>
    <s v="WO-1384"/>
    <s v="EQ-129"/>
    <s v="Centrifugal Pump C-129"/>
    <x v="2"/>
    <s v="Medium"/>
    <x v="0"/>
    <s v="2025-07-12"/>
    <s v="2025-07-12 21:44"/>
    <s v="2025-07-12 21:44"/>
    <s v="2025-07-13 08:46"/>
    <n v="11"/>
    <n v="250112.58"/>
    <s v="No Failure"/>
    <s v="Chidi Eze"/>
    <s v="Preventive maintenance on Centrifugal Pump C-129"/>
    <x v="5"/>
    <x v="0"/>
    <x v="2"/>
  </r>
  <r>
    <s v="WO-1385"/>
    <s v="EQ-129"/>
    <s v="Centrifugal Pump C-129"/>
    <x v="2"/>
    <s v="Low"/>
    <x v="3"/>
    <s v="2025-08-08"/>
    <s v="2025-08-08 21:44"/>
    <m/>
    <m/>
    <n v="0"/>
    <n v="0"/>
    <m/>
    <s v="Fatima Bello"/>
    <s v="Preventive maintenance on Centrifugal Pump C-129"/>
    <x v="7"/>
    <x v="3"/>
    <x v="2"/>
  </r>
  <r>
    <s v="WO-1386"/>
    <s v="EQ-129"/>
    <s v="Centrifugal Pump C-129"/>
    <x v="2"/>
    <s v="High"/>
    <x v="0"/>
    <s v="2025-07-26"/>
    <s v="2025-07-26 21:44"/>
    <s v="2025-07-26 21:44"/>
    <s v="2025-07-27 00:31"/>
    <n v="10.199999999999999"/>
    <n v="86969.56"/>
    <s v="No Failure"/>
    <s v="Emeka Okonkwo"/>
    <s v="Preventive maintenance on Centrifugal Pump C-129"/>
    <x v="5"/>
    <x v="0"/>
    <x v="2"/>
  </r>
  <r>
    <s v="WO-1387"/>
    <s v="EQ-129"/>
    <s v="Centrifugal Pump C-129"/>
    <x v="2"/>
    <s v="Medium"/>
    <x v="0"/>
    <s v="2025-01-25"/>
    <s v="2025-01-25 21:44"/>
    <s v="2025-01-25 21:44"/>
    <s v="2025-01-26 00:36"/>
    <n v="10.6"/>
    <n v="179922.04"/>
    <s v="No Failure"/>
    <s v="John Okafor"/>
    <s v="Preventive maintenance on Centrifugal Pump C-129"/>
    <x v="0"/>
    <x v="0"/>
    <x v="2"/>
  </r>
  <r>
    <s v="WO-1388"/>
    <s v="EQ-129"/>
    <s v="Centrifugal Pump C-129"/>
    <x v="3"/>
    <s v="Medium"/>
    <x v="0"/>
    <s v="2025-10-18"/>
    <s v="2025-10-18 21:44"/>
    <s v="2025-10-18 21:44"/>
    <s v="2025-10-20 02:38"/>
    <n v="13.9"/>
    <n v="552760.48"/>
    <s v="Calibration Drift"/>
    <s v="Amina Ibrahim"/>
    <s v="Breakdown maintenance on Centrifugal Pump C-129"/>
    <x v="4"/>
    <x v="0"/>
    <x v="3"/>
  </r>
  <r>
    <s v="WO-1389"/>
    <s v="EQ-129"/>
    <s v="Centrifugal Pump C-129"/>
    <x v="0"/>
    <s v="Low"/>
    <x v="0"/>
    <s v="2025-10-06"/>
    <s v="2025-10-06 21:44"/>
    <s v="2025-10-06 21:44"/>
    <s v="2025-10-07 01:05"/>
    <n v="3.6"/>
    <n v="90231.49"/>
    <s v="No Failure"/>
    <s v="Emeka Okonkwo"/>
    <s v="Inspection maintenance on Centrifugal Pump C-129"/>
    <x v="4"/>
    <x v="0"/>
    <x v="0"/>
  </r>
  <r>
    <s v="WO-1390"/>
    <s v="EQ-129"/>
    <s v="Centrifugal Pump C-129"/>
    <x v="2"/>
    <s v="High"/>
    <x v="0"/>
    <s v="2025-08-27"/>
    <s v="2025-08-27 21:44"/>
    <s v="2025-08-27 21:44"/>
    <s v="2025-08-28 05:27"/>
    <n v="6"/>
    <n v="204561.12"/>
    <s v="No Failure"/>
    <s v="Tunde Adeleke"/>
    <s v="Preventive maintenance on Centrifugal Pump C-129"/>
    <x v="7"/>
    <x v="0"/>
    <x v="2"/>
  </r>
  <r>
    <s v="WO-1391"/>
    <s v="EQ-129"/>
    <s v="Centrifugal Pump C-129"/>
    <x v="2"/>
    <s v="Medium"/>
    <x v="0"/>
    <s v="2025-06-09"/>
    <s v="2025-06-09 21:44"/>
    <s v="2025-06-09 21:44"/>
    <s v="2025-06-10 06:39"/>
    <n v="4.7"/>
    <n v="143110.17000000001"/>
    <s v="No Failure"/>
    <s v="Aisha Mohammed"/>
    <s v="Preventive maintenance on Centrifugal Pump C-129"/>
    <x v="11"/>
    <x v="0"/>
    <x v="2"/>
  </r>
  <r>
    <s v="WO-1392"/>
    <s v="EQ-129"/>
    <s v="Centrifugal Pump C-129"/>
    <x v="3"/>
    <s v="Medium"/>
    <x v="0"/>
    <s v="2025-05-30"/>
    <s v="2025-05-30 21:44"/>
    <s v="2025-05-30 21:44"/>
    <s v="2025-05-31 16:57"/>
    <n v="11.9"/>
    <n v="721340.02"/>
    <s v="Overheating"/>
    <s v="Chidi Eze"/>
    <s v="Breakdown maintenance on Centrifugal Pump C-129"/>
    <x v="8"/>
    <x v="0"/>
    <x v="3"/>
  </r>
  <r>
    <s v="WO-1393"/>
    <s v="EQ-129"/>
    <s v="Centrifugal Pump C-129"/>
    <x v="2"/>
    <s v="Medium"/>
    <x v="0"/>
    <s v="2025-08-05"/>
    <s v="2025-08-05 21:44"/>
    <s v="2025-08-05 21:44"/>
    <s v="2025-08-06 07:29"/>
    <n v="8"/>
    <n v="72321.710000000006"/>
    <s v="No Failure"/>
    <s v="Zainab Yusuf"/>
    <s v="Preventive maintenance on Centrifugal Pump C-129"/>
    <x v="7"/>
    <x v="0"/>
    <x v="2"/>
  </r>
  <r>
    <s v="WO-1394"/>
    <s v="EQ-129"/>
    <s v="Centrifugal Pump C-129"/>
    <x v="2"/>
    <s v="Low"/>
    <x v="0"/>
    <s v="2025-07-18"/>
    <s v="2025-07-18 21:44"/>
    <s v="2025-07-18 21:44"/>
    <s v="2025-07-19 07:09"/>
    <n v="10.199999999999999"/>
    <n v="178817.43"/>
    <s v="No Failure"/>
    <s v="Chidi Eze"/>
    <s v="Preventive maintenance on Centrifugal Pump C-129"/>
    <x v="5"/>
    <x v="0"/>
    <x v="2"/>
  </r>
  <r>
    <s v="WO-1395"/>
    <s v="EQ-129"/>
    <s v="Centrifugal Pump C-129"/>
    <x v="2"/>
    <s v="Low"/>
    <x v="0"/>
    <s v="2025-12-20"/>
    <s v="2025-12-20 21:44"/>
    <s v="2025-12-20 21:44"/>
    <s v="2025-12-21 04:48"/>
    <n v="10.8"/>
    <n v="57237.04"/>
    <s v="No Failure"/>
    <s v="Fatima Bello"/>
    <s v="Preventive maintenance on Centrifugal Pump C-129"/>
    <x v="2"/>
    <x v="0"/>
    <x v="2"/>
  </r>
  <r>
    <s v="WO-1396"/>
    <s v="EQ-129"/>
    <s v="Centrifugal Pump C-129"/>
    <x v="0"/>
    <s v="Medium"/>
    <x v="0"/>
    <s v="2025-04-03"/>
    <s v="2025-04-03 21:44"/>
    <s v="2025-04-03 21:44"/>
    <s v="2025-04-04 01:15"/>
    <n v="3.8"/>
    <n v="76370.720000000001"/>
    <s v="No Failure"/>
    <s v="Emeka Okonkwo"/>
    <s v="Inspection maintenance on Centrifugal Pump C-129"/>
    <x v="3"/>
    <x v="0"/>
    <x v="0"/>
  </r>
  <r>
    <s v="WO-1397"/>
    <s v="EQ-129"/>
    <s v="Centrifugal Pump C-129"/>
    <x v="2"/>
    <s v="Critical"/>
    <x v="0"/>
    <s v="2025-08-16"/>
    <s v="2025-08-16 21:44"/>
    <s v="2025-08-16 21:44"/>
    <s v="2025-08-17 04:47"/>
    <n v="2.2999999999999998"/>
    <n v="143116.69"/>
    <s v="No Failure"/>
    <s v="Zainab Yusuf"/>
    <s v="Preventive maintenance on Centrifugal Pump C-129"/>
    <x v="7"/>
    <x v="0"/>
    <x v="2"/>
  </r>
  <r>
    <s v="WO-1398"/>
    <s v="EQ-129"/>
    <s v="Centrifugal Pump C-129"/>
    <x v="2"/>
    <s v="High"/>
    <x v="0"/>
    <s v="2025-08-21"/>
    <s v="2025-08-21 21:44"/>
    <s v="2025-08-21 21:44"/>
    <s v="2025-08-22 05:36"/>
    <n v="10.9"/>
    <n v="237240.28"/>
    <s v="No Failure"/>
    <s v="Amina Ibrahim"/>
    <s v="Preventive maintenance on Centrifugal Pump C-129"/>
    <x v="7"/>
    <x v="0"/>
    <x v="2"/>
  </r>
  <r>
    <s v="WO-1399"/>
    <s v="EQ-129"/>
    <s v="Centrifugal Pump C-129"/>
    <x v="2"/>
    <s v="Medium"/>
    <x v="1"/>
    <s v="2025-07-07"/>
    <s v="2025-07-07 21:44"/>
    <m/>
    <m/>
    <n v="0"/>
    <n v="0"/>
    <m/>
    <s v="Fatima Bello"/>
    <s v="Preventive maintenance on Centrifugal Pump C-129"/>
    <x v="5"/>
    <x v="1"/>
    <x v="2"/>
  </r>
  <r>
    <s v="WO-1400"/>
    <s v="EQ-129"/>
    <s v="Centrifugal Pump C-129"/>
    <x v="0"/>
    <s v="Medium"/>
    <x v="0"/>
    <s v="2025-11-18"/>
    <s v="2025-11-18 21:44"/>
    <s v="2025-11-18 21:44"/>
    <s v="2025-11-18 23:25"/>
    <n v="2.5"/>
    <n v="89170.39"/>
    <s v="No Failure"/>
    <s v="John Okafor"/>
    <s v="Inspection maintenance on Centrifugal Pump C-129"/>
    <x v="9"/>
    <x v="0"/>
    <x v="0"/>
  </r>
  <r>
    <s v="WO-1401"/>
    <s v="EQ-129"/>
    <s v="Centrifugal Pump C-129"/>
    <x v="2"/>
    <s v="Critical"/>
    <x v="0"/>
    <s v="2025-02-27"/>
    <s v="2025-02-27 21:44"/>
    <s v="2025-02-27 21:44"/>
    <s v="2025-02-28 06:13"/>
    <n v="4.5"/>
    <n v="251271.39"/>
    <s v="No Failure"/>
    <s v="Emeka Okonkwo"/>
    <s v="Preventive maintenance on Centrifugal Pump C-129"/>
    <x v="10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5"/>
    <n v="139.4"/>
    <n v="2863344.77"/>
    <n v="4380"/>
    <n v="9.3000000000000007"/>
    <n v="98.41"/>
  </r>
  <r>
    <x v="1"/>
    <n v="17"/>
    <n v="205"/>
    <n v="5004671.3899999997"/>
    <n v="2190"/>
    <n v="12.1"/>
    <n v="97.66"/>
  </r>
  <r>
    <x v="2"/>
    <n v="13"/>
    <n v="171"/>
    <n v="2921472.03"/>
    <n v="2920"/>
    <n v="13.2"/>
    <n v="98.05"/>
  </r>
  <r>
    <x v="3"/>
    <n v="22"/>
    <n v="304.89999999999998"/>
    <n v="5086336.95"/>
    <n v="2920"/>
    <n v="13.9"/>
    <n v="96.52"/>
  </r>
  <r>
    <x v="4"/>
    <n v="6"/>
    <n v="92.1"/>
    <n v="1898449.3"/>
    <n v="2920"/>
    <n v="15.4"/>
    <n v="98.95"/>
  </r>
  <r>
    <x v="5"/>
    <n v="15"/>
    <n v="212.1"/>
    <n v="4352095.7000000011"/>
    <n v="2920"/>
    <n v="14.1"/>
    <n v="97.58"/>
  </r>
  <r>
    <x v="6"/>
    <n v="22"/>
    <n v="183.6"/>
    <n v="5071478.6099999994"/>
    <n v="2920"/>
    <n v="8.3000000000000007"/>
    <n v="97.9"/>
  </r>
  <r>
    <x v="7"/>
    <n v="8"/>
    <n v="83.699999999999989"/>
    <n v="2250966.2999999998"/>
    <n v="4380"/>
    <n v="10.5"/>
    <n v="99.04"/>
  </r>
  <r>
    <x v="8"/>
    <n v="4"/>
    <n v="95.9"/>
    <n v="1872736.92"/>
    <n v="8760"/>
    <n v="24"/>
    <n v="98.91"/>
  </r>
  <r>
    <x v="9"/>
    <n v="12"/>
    <n v="207.8"/>
    <n v="3701480.7"/>
    <n v="2190"/>
    <n v="17.3"/>
    <n v="97.63"/>
  </r>
  <r>
    <x v="10"/>
    <n v="13"/>
    <n v="97.100000000000009"/>
    <n v="2830912.04"/>
    <n v="8760"/>
    <n v="7.5"/>
    <n v="98.89"/>
  </r>
  <r>
    <x v="11"/>
    <n v="6"/>
    <n v="96"/>
    <n v="2543839.16"/>
    <n v="8760"/>
    <n v="16"/>
    <n v="98.9"/>
  </r>
  <r>
    <x v="12"/>
    <n v="15"/>
    <n v="221.1"/>
    <n v="5069958.419999999"/>
    <n v="1752"/>
    <n v="14.7"/>
    <n v="97.48"/>
  </r>
  <r>
    <x v="13"/>
    <n v="8"/>
    <n v="98.3"/>
    <n v="1997038.69"/>
    <n v="8760"/>
    <n v="12.3"/>
    <n v="98.88"/>
  </r>
  <r>
    <x v="14"/>
    <n v="5"/>
    <n v="22.3"/>
    <n v="1361589.34"/>
    <n v="8760"/>
    <n v="4.5"/>
    <n v="99.75"/>
  </r>
  <r>
    <x v="15"/>
    <n v="10"/>
    <n v="82.5"/>
    <n v="2461897.2000000002"/>
    <n v="8760"/>
    <n v="8.1999999999999993"/>
    <n v="99.06"/>
  </r>
  <r>
    <x v="16"/>
    <n v="9"/>
    <n v="219.3"/>
    <n v="3733250.96"/>
    <n v="4380"/>
    <n v="24.4"/>
    <n v="97.5"/>
  </r>
  <r>
    <x v="17"/>
    <n v="12"/>
    <n v="180.2"/>
    <n v="3201255.31"/>
    <n v="8760"/>
    <n v="15"/>
    <n v="97.94"/>
  </r>
  <r>
    <x v="18"/>
    <n v="10"/>
    <n v="135"/>
    <n v="2501782.88"/>
    <n v="8760"/>
    <n v="13.5"/>
    <n v="98.46"/>
  </r>
  <r>
    <x v="19"/>
    <n v="8"/>
    <n v="195.8"/>
    <n v="2727608.98"/>
    <n v="4380"/>
    <n v="24.5"/>
    <n v="97.76"/>
  </r>
  <r>
    <x v="20"/>
    <n v="5"/>
    <n v="76.5"/>
    <n v="2017877.5"/>
    <n v="8760"/>
    <n v="15.3"/>
    <n v="99.13"/>
  </r>
  <r>
    <x v="21"/>
    <n v="17"/>
    <n v="204.1"/>
    <n v="4277274.25"/>
    <n v="2920"/>
    <n v="12"/>
    <n v="97.67"/>
  </r>
  <r>
    <x v="22"/>
    <n v="7"/>
    <n v="154.69999999999999"/>
    <n v="1862680.54"/>
    <n v="8760"/>
    <n v="22.1"/>
    <n v="98.23"/>
  </r>
  <r>
    <x v="23"/>
    <n v="9"/>
    <n v="95.800000000000011"/>
    <n v="2216636.5099999998"/>
    <n v="4380"/>
    <n v="10.6"/>
    <n v="98.91"/>
  </r>
  <r>
    <x v="24"/>
    <n v="7"/>
    <n v="64.599999999999994"/>
    <n v="1727225.44"/>
    <n v="8760"/>
    <n v="9.1999999999999993"/>
    <n v="99.26"/>
  </r>
  <r>
    <x v="25"/>
    <n v="5"/>
    <n v="33.700000000000003"/>
    <n v="1047945.41"/>
    <n v="8760"/>
    <n v="6.7"/>
    <n v="99.62"/>
  </r>
  <r>
    <x v="26"/>
    <n v="15"/>
    <n v="158.5"/>
    <n v="3648047.41"/>
    <n v="4380"/>
    <n v="10.6"/>
    <n v="98.19"/>
  </r>
  <r>
    <x v="27"/>
    <n v="6"/>
    <n v="142.30000000000001"/>
    <n v="2668404.48"/>
    <n v="8760"/>
    <n v="23.7"/>
    <n v="98.38"/>
  </r>
  <r>
    <x v="28"/>
    <n v="10"/>
    <n v="88"/>
    <n v="1800936.38"/>
    <n v="8760"/>
    <n v="8.8000000000000007"/>
    <n v="99"/>
  </r>
  <r>
    <x v="29"/>
    <n v="19"/>
    <n v="159.9"/>
    <n v="4382057.4399999985"/>
    <n v="4380"/>
    <n v="8.4"/>
    <n v="98.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4AE80-886B-46C1-BD58-0A54C0E1B496}" name="Downtime Pivot" cacheId="128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55:B65" firstHeaderRow="1" firstDataRow="1" firstDataCol="1"/>
  <pivotFields count="7">
    <pivotField axis="axisRow" compact="0" outline="0" showAll="0" measureFilter="1" sortType="a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numFmtId="165" outline="0" showAll="0"/>
    <pivotField compact="0" numFmtId="164" outline="0" showAll="0"/>
    <pivotField compact="0" numFmtId="164" outline="0" showAll="0"/>
    <pivotField compact="0" outline="0" showAll="0"/>
  </pivotFields>
  <rowFields count="1">
    <field x="0"/>
  </rowFields>
  <rowItems count="10">
    <i>
      <x v="17"/>
    </i>
    <i>
      <x v="6"/>
    </i>
    <i>
      <x v="19"/>
    </i>
    <i>
      <x v="21"/>
    </i>
    <i>
      <x v="1"/>
    </i>
    <i>
      <x v="9"/>
    </i>
    <i>
      <x v="5"/>
    </i>
    <i>
      <x v="16"/>
    </i>
    <i>
      <x v="12"/>
    </i>
    <i>
      <x v="3"/>
    </i>
  </rowItems>
  <colItems count="1">
    <i/>
  </colItems>
  <dataFields count="1">
    <dataField name="Sum of Total_Downtime_Hours" fld="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F3978-C8D9-46B0-9DB9-ED835BCB4C94}" name="Monthly Cost" cacheId="1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30:B43" firstHeaderRow="1" firstDataRow="1" firstDataCol="1" rowPageCount="1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12"/>
        <item x="0"/>
        <item x="10"/>
        <item x="1"/>
        <item x="3"/>
        <item x="8"/>
        <item x="11"/>
        <item x="5"/>
        <item x="7"/>
        <item x="6"/>
        <item x="4"/>
        <item x="9"/>
        <item x="2"/>
        <item t="default"/>
      </items>
    </pivotField>
    <pivotField compact="0" outline="0" showAll="0"/>
    <pivotField compact="0" outline="0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ageFields count="1">
    <pageField fld="5" hier="-1"/>
  </pageFields>
  <dataFields count="1">
    <dataField name="Sum of Cost_NGN" fld="11" baseField="0" baseItem="0" numFmtId="165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6B8F7-F135-4121-9734-46D2A0B1D8A9}" name="Maintenance Pivot" cacheId="1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1">
  <location ref="A15:C20" firstHeaderRow="1" firstDataRow="1" firstDataCol="2" rowPageCount="1" colPageCount="1"/>
  <pivotFields count="18"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5">
        <item x="3"/>
        <item x="1"/>
        <item x="0"/>
        <item x="4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Page" compact="0" outline="0" multipleItemSelectionAllowed="1" showAll="0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2"/>
        <item x="0"/>
        <item x="1"/>
        <item x="3"/>
        <item x="4"/>
      </items>
    </pivotField>
  </pivotFields>
  <rowFields count="2">
    <field x="17"/>
    <field x="3"/>
  </rowFields>
  <rowItems count="5">
    <i>
      <x/>
      <x v="4"/>
    </i>
    <i>
      <x v="1"/>
      <x v="2"/>
    </i>
    <i>
      <x v="2"/>
      <x v="1"/>
    </i>
    <i>
      <x v="3"/>
      <x/>
    </i>
    <i>
      <x v="4"/>
      <x v="3"/>
    </i>
  </rowItems>
  <colItems count="1">
    <i/>
  </colItems>
  <pageFields count="1">
    <pageField fld="5" hier="-1"/>
  </pageFields>
  <dataFields count="1">
    <dataField name="Count of WO_Number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61304-0792-44FB-A171-3DE64791AC66}" name="Status Pivot" cacheId="128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1">
  <location ref="A1:C5" firstHeaderRow="1" firstDataRow="1" firstDataCol="2"/>
  <pivotFields count="18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4">
        <item x="3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4">
        <item x="0"/>
        <item x="1"/>
        <item x="2"/>
        <item x="3"/>
      </items>
    </pivotField>
    <pivotField compact="0" outline="0" showAll="0"/>
  </pivotFields>
  <rowFields count="2">
    <field x="16"/>
    <field x="5"/>
  </rowFields>
  <rowItems count="4">
    <i>
      <x/>
      <x v="1"/>
    </i>
    <i>
      <x v="1"/>
      <x v="2"/>
    </i>
    <i>
      <x v="2"/>
      <x v="3"/>
    </i>
    <i>
      <x v="3"/>
      <x/>
    </i>
  </rowItems>
  <colItems count="1">
    <i/>
  </colItems>
  <dataFields count="1">
    <dataField name="Work Orders" fld="0" subtotal="count" baseField="0" baseItem="0"/>
  </dataFields>
  <chartFormats count="6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8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8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0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2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2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3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3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7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7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7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19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19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16" count="1" selected="0">
            <x v="0"/>
          </reference>
        </references>
      </pivotArea>
    </chartFormat>
    <chartFormat chart="20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16" count="1" selected="0">
            <x v="1"/>
          </reference>
        </references>
      </pivotArea>
    </chartFormat>
    <chartFormat chart="20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6" count="1" selected="0">
            <x v="2"/>
          </reference>
        </references>
      </pivotArea>
    </chartFormat>
    <chartFormat chart="20" format="2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5C945CDC-8B7B-4101-A405-88B66062AE67}" sourceName="Status">
  <pivotTables>
    <pivotTable tabId="6" name="Monthly Cost"/>
    <pivotTable tabId="6" name="Maintenance Pivot"/>
    <pivotTable tabId="6" name="Status Pivot"/>
  </pivotTables>
  <data>
    <tabular pivotCacheId="830550987">
      <items count="4">
        <i x="3" s="1"/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1" xr10:uid="{4DAA16B2-5D3E-42CE-BA8F-A876CDDE0906}" cache="Slice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3974A-A3DC-4C29-8B85-C6437C4E6B94}" name="tblEquip" displayName="tblEquip" ref="A1:G31" totalsRowShown="0" headerRowDxfId="17" headerRowBorderDxfId="15" tableBorderDxfId="16">
  <autoFilter ref="A1:G31" xr:uid="{9EA3974A-A3DC-4C29-8B85-C6437C4E6B94}"/>
  <tableColumns count="7">
    <tableColumn id="1" xr3:uid="{3F160AE0-ED86-45BC-9DDF-73DE6165E9F3}" name="Equipment_ID"/>
    <tableColumn id="2" xr3:uid="{19F9E3CF-A26B-4357-8FD7-381312EB5E58}" name="Equipment_Name"/>
    <tableColumn id="3" xr3:uid="{14AB8B8B-9B36-454B-9C8D-EAB00A7B8763}" name="Equipment_Type"/>
    <tableColumn id="4" xr3:uid="{31600F20-A557-486F-977C-6B6EA65E9962}" name="Criticality"/>
    <tableColumn id="5" xr3:uid="{CEA67A71-D9FF-4AAD-BDF1-B7C5B6A4B91F}" name="Location"/>
    <tableColumn id="6" xr3:uid="{FB9DBF50-8F79-4116-82A9-7E22F7A2AAE3}" name="Installed_Date"/>
    <tableColumn id="7" xr3:uid="{558CE836-0398-4088-AA3A-40AD16D51860}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8A27DB-46A0-4513-86CB-F19039D53620}" name="tblWO" displayName="tblWO" ref="A1:S403" totalsRowShown="0" headerRowDxfId="14" headerRowBorderDxfId="12" tableBorderDxfId="13">
  <autoFilter ref="A1:S403" xr:uid="{078A27DB-46A0-4513-86CB-F19039D53620}"/>
  <tableColumns count="19">
    <tableColumn id="1" xr3:uid="{EEC0237B-B950-4D77-AD35-71A93E770F22}" name="WO_Number"/>
    <tableColumn id="2" xr3:uid="{79892D56-B841-45D4-8163-8701407A0A7C}" name="Equipment_ID"/>
    <tableColumn id="3" xr3:uid="{BC2E7A39-9ACA-4E4E-B3E8-6E440F0E4E25}" name="Equipment_Name"/>
    <tableColumn id="4" xr3:uid="{59B21BAA-E34B-4577-A37D-8BB8A4A2694B}" name="Maintenance_Type"/>
    <tableColumn id="5" xr3:uid="{1077B12F-93C9-4183-83D6-0005028D601B}" name="Priority"/>
    <tableColumn id="6" xr3:uid="{6DCAF2E8-3374-4CA3-B51F-E8AFB8D6C828}" name="Status"/>
    <tableColumn id="7" xr3:uid="{2FE0B547-9E25-46E2-97C0-422FC5D0AC89}" name="Created_Date"/>
    <tableColumn id="8" xr3:uid="{B7DBB76D-E652-4091-899C-BC07F868CF83}" name="Scheduled_Start"/>
    <tableColumn id="9" xr3:uid="{41CDDE7E-E7B2-43B6-A2AA-73871B378CFF}" name="Actual_Start"/>
    <tableColumn id="10" xr3:uid="{F3DEFF54-485A-44C8-AA32-97224C0B62AE}" name="Completion_Date"/>
    <tableColumn id="11" xr3:uid="{0E3D026F-B025-45EB-B978-093043387901}" name="Downtime_Hours" dataDxfId="11"/>
    <tableColumn id="12" xr3:uid="{B3AFA7BA-90E6-4E88-A6BE-5A6E2074D402}" name="Cost_NGN" dataDxfId="10"/>
    <tableColumn id="13" xr3:uid="{021AAA97-0E6A-436B-9791-5ED24508F3DC}" name="Failure_Type"/>
    <tableColumn id="14" xr3:uid="{EF22C22B-6119-44A0-B032-63811AD688F9}" name="Technician"/>
    <tableColumn id="15" xr3:uid="{C42CC112-6F24-4612-ADC7-C79CF2A8E61D}" name="Description"/>
    <tableColumn id="16" xr3:uid="{2A00AE6D-47C1-4377-91D1-EF69B22C7041}" name="Year_Month" dataDxfId="9">
      <calculatedColumnFormula>TEXT(G2,"yyyy-mm")</calculatedColumnFormula>
    </tableColumn>
    <tableColumn id="17" xr3:uid="{56EBB42E-25E7-4A60-BD9E-AAC76D310A63}" name="Status_Order" dataDxfId="8">
      <calculatedColumnFormula>IF(tblWO[[#This Row],[Status]]="Completed",1,
IF(tblWO[[#This Row],[Status]]="In Progress",2,
IF(tblWO[[#This Row],[Status]]="Planned",3,
IF(tblWO[[#This Row],[Status]]="Cancelled",4,99))))</calculatedColumnFormula>
    </tableColumn>
    <tableColumn id="18" xr3:uid="{75A1DA4F-A928-4ADF-B037-15E6DBE72EC0}" name="Maintenance_Type_Order" dataDxfId="7">
      <calculatedColumnFormula>IF(D2="Preventive",1,
IF(D2="Inspection",2,
IF(D2="Corrective",3,
IF(D2="Breakdown",4,
IF(D2="Overhaul",5,99)))))</calculatedColumnFormula>
    </tableColumn>
    <tableColumn id="19" xr3:uid="{18542626-B6D1-4342-9270-238E0910F41E}" name="Year_Month2" dataDxfId="6">
      <calculatedColumnFormula>TEXT(G2,"yyyy-mm")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4CEC8-C0B0-406A-8BE3-0AD95BFCDD2E}" name="tblEquipMetrics" displayName="tblEquipMetrics" ref="A1:G31" totalsRowShown="0" headerRowDxfId="5" headerRowBorderDxfId="3" tableBorderDxfId="4">
  <autoFilter ref="A1:G31" xr:uid="{19A4CEC8-C0B0-406A-8BE3-0AD95BFCDD2E}"/>
  <tableColumns count="7">
    <tableColumn id="1" xr3:uid="{B76291E9-5A4B-42AD-9D7B-E75D6986E2B3}" name="Equipment_ID"/>
    <tableColumn id="2" xr3:uid="{50B558BC-DACD-4EAF-A682-B7A955139236}" name="Total_Work_Orders"/>
    <tableColumn id="3" xr3:uid="{29C85F16-DBA1-41EB-92E8-2CDB0AC465B8}" name="Total_Downtime_Hours"/>
    <tableColumn id="4" xr3:uid="{59E4CB30-DA00-4D53-BA51-826648978448}" name="Total_Cost_NGN" dataDxfId="2"/>
    <tableColumn id="5" xr3:uid="{20D75E32-B2B6-4BBC-A88C-D7BD5D6A6528}" name="MTBF_Hours" dataDxfId="1"/>
    <tableColumn id="6" xr3:uid="{8E1A324B-81D7-4C12-9095-BAA98C9D28BF}" name="MTTR_Hours" dataDxfId="0"/>
    <tableColumn id="7" xr3:uid="{C2773FF4-CDC9-4E66-AD0A-AD50E1C41A50}" name="Availability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A5" sqref="A5"/>
    </sheetView>
  </sheetViews>
  <sheetFormatPr defaultRowHeight="15"/>
  <cols>
    <col min="1" max="1" width="22.140625" customWidth="1"/>
    <col min="2" max="2" width="27.28515625" customWidth="1"/>
    <col min="3" max="3" width="18.85546875" customWidth="1"/>
    <col min="4" max="4" width="15.28515625" customWidth="1"/>
    <col min="5" max="5" width="16.85546875" customWidth="1"/>
    <col min="6" max="6" width="18.5703125" customWidth="1"/>
    <col min="7" max="7" width="18.28515625" bestFit="1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13</v>
      </c>
    </row>
    <row r="5" spans="1:7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13</v>
      </c>
    </row>
    <row r="6" spans="1:7">
      <c r="A6" t="s">
        <v>29</v>
      </c>
      <c r="B6" t="s">
        <v>30</v>
      </c>
      <c r="C6" t="s">
        <v>31</v>
      </c>
      <c r="D6" t="s">
        <v>32</v>
      </c>
      <c r="E6" t="s">
        <v>17</v>
      </c>
      <c r="F6" t="s">
        <v>33</v>
      </c>
      <c r="G6" t="s">
        <v>13</v>
      </c>
    </row>
    <row r="7" spans="1:7">
      <c r="A7" t="s">
        <v>34</v>
      </c>
      <c r="B7" t="s">
        <v>35</v>
      </c>
      <c r="C7" t="s">
        <v>36</v>
      </c>
      <c r="D7" t="s">
        <v>37</v>
      </c>
      <c r="E7" t="s">
        <v>22</v>
      </c>
      <c r="F7" t="s">
        <v>38</v>
      </c>
      <c r="G7" t="s">
        <v>13</v>
      </c>
    </row>
    <row r="8" spans="1:7">
      <c r="A8" t="s">
        <v>39</v>
      </c>
      <c r="B8" t="s">
        <v>40</v>
      </c>
      <c r="C8" t="s">
        <v>41</v>
      </c>
      <c r="D8" t="s">
        <v>10</v>
      </c>
      <c r="E8" t="s">
        <v>11</v>
      </c>
      <c r="F8" t="s">
        <v>42</v>
      </c>
      <c r="G8" t="s">
        <v>13</v>
      </c>
    </row>
    <row r="9" spans="1:7">
      <c r="A9" t="s">
        <v>43</v>
      </c>
      <c r="B9" t="s">
        <v>44</v>
      </c>
      <c r="C9" t="s">
        <v>21</v>
      </c>
      <c r="D9" t="s">
        <v>45</v>
      </c>
      <c r="E9" t="s">
        <v>17</v>
      </c>
      <c r="F9" t="s">
        <v>46</v>
      </c>
      <c r="G9" t="s">
        <v>13</v>
      </c>
    </row>
    <row r="10" spans="1:7">
      <c r="A10" t="s">
        <v>47</v>
      </c>
      <c r="B10" t="s">
        <v>48</v>
      </c>
      <c r="C10" t="s">
        <v>31</v>
      </c>
      <c r="D10" t="s">
        <v>32</v>
      </c>
      <c r="E10" t="s">
        <v>11</v>
      </c>
      <c r="F10" t="s">
        <v>49</v>
      </c>
      <c r="G10" t="s">
        <v>13</v>
      </c>
    </row>
    <row r="11" spans="1:7">
      <c r="A11" t="s">
        <v>50</v>
      </c>
      <c r="B11" t="s">
        <v>51</v>
      </c>
      <c r="C11" t="s">
        <v>52</v>
      </c>
      <c r="D11" t="s">
        <v>10</v>
      </c>
      <c r="E11" t="s">
        <v>22</v>
      </c>
      <c r="F11" t="s">
        <v>53</v>
      </c>
      <c r="G11" t="s">
        <v>54</v>
      </c>
    </row>
    <row r="12" spans="1:7">
      <c r="A12" t="s">
        <v>55</v>
      </c>
      <c r="B12" t="s">
        <v>56</v>
      </c>
      <c r="C12" t="s">
        <v>57</v>
      </c>
      <c r="D12" t="s">
        <v>37</v>
      </c>
      <c r="E12" t="s">
        <v>17</v>
      </c>
      <c r="F12" t="s">
        <v>58</v>
      </c>
      <c r="G12" t="s">
        <v>13</v>
      </c>
    </row>
    <row r="13" spans="1:7">
      <c r="A13" t="s">
        <v>59</v>
      </c>
      <c r="B13" t="s">
        <v>60</v>
      </c>
      <c r="C13" t="s">
        <v>9</v>
      </c>
      <c r="D13" t="s">
        <v>32</v>
      </c>
      <c r="E13" t="s">
        <v>22</v>
      </c>
      <c r="F13" t="s">
        <v>61</v>
      </c>
      <c r="G13" t="s">
        <v>13</v>
      </c>
    </row>
    <row r="14" spans="1:7">
      <c r="A14" t="s">
        <v>62</v>
      </c>
      <c r="B14" t="s">
        <v>63</v>
      </c>
      <c r="C14" t="s">
        <v>9</v>
      </c>
      <c r="D14" t="s">
        <v>37</v>
      </c>
      <c r="E14" t="s">
        <v>17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26</v>
      </c>
      <c r="D15" t="s">
        <v>45</v>
      </c>
      <c r="E15" t="s">
        <v>22</v>
      </c>
      <c r="F15" t="s">
        <v>67</v>
      </c>
      <c r="G15" t="s">
        <v>13</v>
      </c>
    </row>
    <row r="16" spans="1:7">
      <c r="A16" t="s">
        <v>68</v>
      </c>
      <c r="B16" t="s">
        <v>69</v>
      </c>
      <c r="C16" t="s">
        <v>9</v>
      </c>
      <c r="D16" t="s">
        <v>45</v>
      </c>
      <c r="E16" t="s">
        <v>22</v>
      </c>
      <c r="F16" t="s">
        <v>70</v>
      </c>
      <c r="G16" t="s">
        <v>13</v>
      </c>
    </row>
    <row r="17" spans="1:7">
      <c r="A17" t="s">
        <v>71</v>
      </c>
      <c r="B17" t="s">
        <v>72</v>
      </c>
      <c r="C17" t="s">
        <v>73</v>
      </c>
      <c r="D17" t="s">
        <v>45</v>
      </c>
      <c r="E17" t="s">
        <v>22</v>
      </c>
      <c r="F17" t="s">
        <v>74</v>
      </c>
      <c r="G17" t="s">
        <v>13</v>
      </c>
    </row>
    <row r="18" spans="1:7">
      <c r="A18" t="s">
        <v>75</v>
      </c>
      <c r="B18" t="s">
        <v>76</v>
      </c>
      <c r="C18" t="s">
        <v>41</v>
      </c>
      <c r="D18" t="s">
        <v>37</v>
      </c>
      <c r="E18" t="s">
        <v>22</v>
      </c>
      <c r="F18" t="s">
        <v>77</v>
      </c>
      <c r="G18" t="s">
        <v>78</v>
      </c>
    </row>
    <row r="19" spans="1:7">
      <c r="A19" t="s">
        <v>79</v>
      </c>
      <c r="B19" t="s">
        <v>80</v>
      </c>
      <c r="C19" t="s">
        <v>36</v>
      </c>
      <c r="D19" t="s">
        <v>37</v>
      </c>
      <c r="E19" t="s">
        <v>27</v>
      </c>
      <c r="F19" t="s">
        <v>81</v>
      </c>
      <c r="G19" t="s">
        <v>78</v>
      </c>
    </row>
    <row r="20" spans="1:7">
      <c r="A20" t="s">
        <v>82</v>
      </c>
      <c r="B20" t="s">
        <v>83</v>
      </c>
      <c r="C20" t="s">
        <v>9</v>
      </c>
      <c r="D20" t="s">
        <v>37</v>
      </c>
      <c r="E20" t="s">
        <v>11</v>
      </c>
      <c r="F20" t="s">
        <v>84</v>
      </c>
      <c r="G20" t="s">
        <v>13</v>
      </c>
    </row>
    <row r="21" spans="1:7">
      <c r="A21" t="s">
        <v>85</v>
      </c>
      <c r="B21" t="s">
        <v>86</v>
      </c>
      <c r="C21" t="s">
        <v>26</v>
      </c>
      <c r="D21" t="s">
        <v>45</v>
      </c>
      <c r="E21" t="s">
        <v>27</v>
      </c>
      <c r="F21" t="s">
        <v>87</v>
      </c>
      <c r="G21" t="s">
        <v>13</v>
      </c>
    </row>
    <row r="22" spans="1:7">
      <c r="A22" t="s">
        <v>88</v>
      </c>
      <c r="B22" t="s">
        <v>89</v>
      </c>
      <c r="C22" t="s">
        <v>90</v>
      </c>
      <c r="D22" t="s">
        <v>32</v>
      </c>
      <c r="E22" t="s">
        <v>22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73</v>
      </c>
      <c r="D23" t="s">
        <v>10</v>
      </c>
      <c r="E23" t="s">
        <v>17</v>
      </c>
      <c r="F23" t="s">
        <v>94</v>
      </c>
      <c r="G23" t="s">
        <v>13</v>
      </c>
    </row>
    <row r="24" spans="1:7">
      <c r="A24" t="s">
        <v>95</v>
      </c>
      <c r="B24" t="s">
        <v>96</v>
      </c>
      <c r="C24" t="s">
        <v>73</v>
      </c>
      <c r="D24" t="s">
        <v>45</v>
      </c>
      <c r="E24" t="s">
        <v>17</v>
      </c>
      <c r="F24" t="s">
        <v>97</v>
      </c>
      <c r="G24" t="s">
        <v>13</v>
      </c>
    </row>
    <row r="25" spans="1:7">
      <c r="A25" t="s">
        <v>98</v>
      </c>
      <c r="B25" t="s">
        <v>99</v>
      </c>
      <c r="C25" t="s">
        <v>100</v>
      </c>
      <c r="D25" t="s">
        <v>45</v>
      </c>
      <c r="E25" t="s">
        <v>17</v>
      </c>
      <c r="F25" t="s">
        <v>101</v>
      </c>
      <c r="G25" t="s">
        <v>13</v>
      </c>
    </row>
    <row r="26" spans="1:7">
      <c r="A26" t="s">
        <v>102</v>
      </c>
      <c r="B26" t="s">
        <v>103</v>
      </c>
      <c r="C26" t="s">
        <v>9</v>
      </c>
      <c r="D26" t="s">
        <v>32</v>
      </c>
      <c r="E26" t="s">
        <v>11</v>
      </c>
      <c r="F26" t="s">
        <v>104</v>
      </c>
      <c r="G26" t="s">
        <v>13</v>
      </c>
    </row>
    <row r="27" spans="1:7">
      <c r="A27" t="s">
        <v>105</v>
      </c>
      <c r="B27" t="s">
        <v>106</v>
      </c>
      <c r="C27" t="s">
        <v>31</v>
      </c>
      <c r="D27" t="s">
        <v>37</v>
      </c>
      <c r="E27" t="s">
        <v>27</v>
      </c>
      <c r="F27" t="s">
        <v>107</v>
      </c>
      <c r="G27" t="s">
        <v>54</v>
      </c>
    </row>
    <row r="28" spans="1:7">
      <c r="A28" t="s">
        <v>108</v>
      </c>
      <c r="B28" t="s">
        <v>109</v>
      </c>
      <c r="C28" t="s">
        <v>16</v>
      </c>
      <c r="D28" t="s">
        <v>37</v>
      </c>
      <c r="E28" t="s">
        <v>22</v>
      </c>
      <c r="F28" t="s">
        <v>110</v>
      </c>
      <c r="G28" t="s">
        <v>78</v>
      </c>
    </row>
    <row r="29" spans="1:7">
      <c r="A29" t="s">
        <v>111</v>
      </c>
      <c r="B29" t="s">
        <v>112</v>
      </c>
      <c r="C29" t="s">
        <v>57</v>
      </c>
      <c r="D29" t="s">
        <v>45</v>
      </c>
      <c r="E29" t="s">
        <v>22</v>
      </c>
      <c r="F29" t="s">
        <v>94</v>
      </c>
      <c r="G29" t="s">
        <v>13</v>
      </c>
    </row>
    <row r="30" spans="1:7">
      <c r="A30" t="s">
        <v>113</v>
      </c>
      <c r="B30" t="s">
        <v>114</v>
      </c>
      <c r="C30" t="s">
        <v>115</v>
      </c>
      <c r="D30" t="s">
        <v>45</v>
      </c>
      <c r="E30" t="s">
        <v>17</v>
      </c>
      <c r="F30" t="s">
        <v>116</v>
      </c>
      <c r="G30" t="s">
        <v>13</v>
      </c>
    </row>
    <row r="31" spans="1:7">
      <c r="A31" t="s">
        <v>117</v>
      </c>
      <c r="B31" t="s">
        <v>118</v>
      </c>
      <c r="C31" t="s">
        <v>21</v>
      </c>
      <c r="D31" t="s">
        <v>10</v>
      </c>
      <c r="E31" t="s">
        <v>11</v>
      </c>
      <c r="F31" t="s">
        <v>119</v>
      </c>
      <c r="G3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3"/>
  <sheetViews>
    <sheetView topLeftCell="H1" workbookViewId="0">
      <selection activeCell="S3" sqref="S3"/>
    </sheetView>
  </sheetViews>
  <sheetFormatPr defaultRowHeight="15"/>
  <cols>
    <col min="1" max="1" width="14.85546875" bestFit="1" customWidth="1"/>
    <col min="2" max="2" width="15.85546875" bestFit="1" customWidth="1"/>
    <col min="3" max="3" width="21.7109375" bestFit="1" customWidth="1"/>
    <col min="4" max="4" width="20.28515625" bestFit="1" customWidth="1"/>
    <col min="5" max="5" width="9.7109375" bestFit="1" customWidth="1"/>
    <col min="6" max="6" width="10.42578125" bestFit="1" customWidth="1"/>
    <col min="7" max="7" width="15.42578125" bestFit="1" customWidth="1"/>
    <col min="8" max="8" width="17.7109375" bestFit="1" customWidth="1"/>
    <col min="9" max="9" width="16.28515625" bestFit="1" customWidth="1"/>
    <col min="10" max="10" width="18.85546875" bestFit="1" customWidth="1"/>
    <col min="11" max="11" width="18.85546875" style="2" bestFit="1" customWidth="1"/>
    <col min="12" max="12" width="18.7109375" style="3" customWidth="1"/>
    <col min="13" max="13" width="21.28515625" bestFit="1" customWidth="1"/>
    <col min="14" max="14" width="16.85546875" bestFit="1" customWidth="1"/>
    <col min="15" max="15" width="46.7109375" customWidth="1"/>
    <col min="16" max="16" width="15.7109375" customWidth="1"/>
    <col min="17" max="17" width="15" bestFit="1" customWidth="1"/>
    <col min="19" max="19" width="15.42578125" bestFit="1" customWidth="1"/>
  </cols>
  <sheetData>
    <row r="1" spans="1:19">
      <c r="A1" s="4" t="s">
        <v>120</v>
      </c>
      <c r="B1" s="4" t="s">
        <v>0</v>
      </c>
      <c r="C1" s="4" t="s">
        <v>1</v>
      </c>
      <c r="D1" s="4" t="s">
        <v>121</v>
      </c>
      <c r="E1" s="4" t="s">
        <v>122</v>
      </c>
      <c r="F1" s="4" t="s">
        <v>6</v>
      </c>
      <c r="G1" s="4" t="s">
        <v>123</v>
      </c>
      <c r="H1" s="4" t="s">
        <v>124</v>
      </c>
      <c r="I1" s="4" t="s">
        <v>125</v>
      </c>
      <c r="J1" s="4" t="s">
        <v>126</v>
      </c>
      <c r="K1" s="4" t="s">
        <v>127</v>
      </c>
      <c r="L1" s="4" t="s">
        <v>128</v>
      </c>
      <c r="M1" s="4" t="s">
        <v>129</v>
      </c>
      <c r="N1" s="4" t="s">
        <v>130</v>
      </c>
      <c r="O1" s="4" t="s">
        <v>131</v>
      </c>
      <c r="P1" s="4" t="s">
        <v>132</v>
      </c>
      <c r="Q1" s="4" t="s">
        <v>133</v>
      </c>
      <c r="R1" s="4" t="s">
        <v>134</v>
      </c>
      <c r="S1" s="4" t="s">
        <v>135</v>
      </c>
    </row>
    <row r="2" spans="1:19">
      <c r="A2" t="s">
        <v>136</v>
      </c>
      <c r="B2" t="s">
        <v>7</v>
      </c>
      <c r="C2" t="s">
        <v>8</v>
      </c>
      <c r="D2" t="s">
        <v>137</v>
      </c>
      <c r="E2" t="s">
        <v>10</v>
      </c>
      <c r="F2" t="s">
        <v>138</v>
      </c>
      <c r="G2" t="s">
        <v>139</v>
      </c>
      <c r="H2" t="s">
        <v>140</v>
      </c>
      <c r="I2" t="s">
        <v>140</v>
      </c>
      <c r="J2" t="s">
        <v>141</v>
      </c>
      <c r="K2" s="2">
        <v>3.3</v>
      </c>
      <c r="L2" s="3">
        <v>81266.75</v>
      </c>
      <c r="M2" t="s">
        <v>142</v>
      </c>
      <c r="N2" t="s">
        <v>143</v>
      </c>
      <c r="O2" t="s">
        <v>144</v>
      </c>
      <c r="P2" t="str">
        <f t="shared" ref="P2:P65" si="0">TEXT(G2,"yyyy-mm")</f>
        <v>2025-01</v>
      </c>
      <c r="Q2">
        <f>IF(tblWO[[#This Row],[Status]]="Completed",1,
IF(tblWO[[#This Row],[Status]]="In Progress",2,
IF(tblWO[[#This Row],[Status]]="Planned",3,
IF(tblWO[[#This Row],[Status]]="Cancelled",4,99))))</f>
        <v>1</v>
      </c>
      <c r="R2" s="7">
        <f>IF(D2="Preventive",1,
IF(D2="Inspection",2,
IF(D2="Corrective",3,
IF(D2="Breakdown",4,
IF(D2="Overhaul",5,99)))))</f>
        <v>2</v>
      </c>
      <c r="S2" s="6" t="str">
        <f t="shared" ref="S2:S65" si="1">TEXT(G2,"yyyy-mm")</f>
        <v>2025-01</v>
      </c>
    </row>
    <row r="3" spans="1:19">
      <c r="A3" t="s">
        <v>145</v>
      </c>
      <c r="B3" t="s">
        <v>7</v>
      </c>
      <c r="C3" t="s">
        <v>8</v>
      </c>
      <c r="D3" t="s">
        <v>146</v>
      </c>
      <c r="E3" t="s">
        <v>45</v>
      </c>
      <c r="F3" t="s">
        <v>147</v>
      </c>
      <c r="G3" t="s">
        <v>148</v>
      </c>
      <c r="H3" t="s">
        <v>149</v>
      </c>
      <c r="K3" s="2">
        <v>0</v>
      </c>
      <c r="L3" s="3">
        <v>0</v>
      </c>
      <c r="N3" t="s">
        <v>150</v>
      </c>
      <c r="O3" t="s">
        <v>151</v>
      </c>
      <c r="P3" t="str">
        <f t="shared" si="0"/>
        <v>2025-03</v>
      </c>
      <c r="Q3">
        <f>IF(tblWO[[#This Row],[Status]]="Completed",1,
IF(tblWO[[#This Row],[Status]]="In Progress",2,
IF(tblWO[[#This Row],[Status]]="Planned",3,
IF(tblWO[[#This Row],[Status]]="Cancelled",4,99))))</f>
        <v>2</v>
      </c>
      <c r="R3">
        <f t="shared" ref="R2:R65" si="2">IF(D3="Preventive",1,
IF(D3="Inspection",2,
IF(D3="Corrective",3,
IF(D3="Breakdown",4,
IF(D3="Overhaul",5,99)))))</f>
        <v>3</v>
      </c>
      <c r="S3" s="6" t="str">
        <f t="shared" si="1"/>
        <v>2025-03</v>
      </c>
    </row>
    <row r="4" spans="1:19">
      <c r="A4" t="s">
        <v>152</v>
      </c>
      <c r="B4" t="s">
        <v>7</v>
      </c>
      <c r="C4" t="s">
        <v>8</v>
      </c>
      <c r="D4" t="s">
        <v>137</v>
      </c>
      <c r="E4" t="s">
        <v>32</v>
      </c>
      <c r="F4" t="s">
        <v>138</v>
      </c>
      <c r="G4" t="s">
        <v>153</v>
      </c>
      <c r="H4" t="s">
        <v>154</v>
      </c>
      <c r="I4" t="s">
        <v>154</v>
      </c>
      <c r="J4" t="s">
        <v>155</v>
      </c>
      <c r="K4" s="2">
        <v>2.9</v>
      </c>
      <c r="L4" s="3">
        <v>55048.01</v>
      </c>
      <c r="M4" t="s">
        <v>142</v>
      </c>
      <c r="N4" t="s">
        <v>156</v>
      </c>
      <c r="O4" t="s">
        <v>144</v>
      </c>
      <c r="P4" t="str">
        <f t="shared" si="0"/>
        <v>2025-12</v>
      </c>
      <c r="Q4">
        <f>IF(tblWO[[#This Row],[Status]]="Completed",1,
IF(tblWO[[#This Row],[Status]]="In Progress",2,
IF(tblWO[[#This Row],[Status]]="Planned",3,
IF(tblWO[[#This Row],[Status]]="Cancelled",4,99))))</f>
        <v>1</v>
      </c>
      <c r="R4">
        <f t="shared" si="2"/>
        <v>2</v>
      </c>
      <c r="S4" s="6" t="str">
        <f t="shared" si="1"/>
        <v>2025-12</v>
      </c>
    </row>
    <row r="5" spans="1:19">
      <c r="A5" t="s">
        <v>157</v>
      </c>
      <c r="B5" t="s">
        <v>7</v>
      </c>
      <c r="C5" t="s">
        <v>8</v>
      </c>
      <c r="D5" t="s">
        <v>158</v>
      </c>
      <c r="E5" t="s">
        <v>45</v>
      </c>
      <c r="F5" t="s">
        <v>138</v>
      </c>
      <c r="G5" t="s">
        <v>159</v>
      </c>
      <c r="H5" t="s">
        <v>160</v>
      </c>
      <c r="I5" t="s">
        <v>160</v>
      </c>
      <c r="J5" t="s">
        <v>161</v>
      </c>
      <c r="K5" s="2">
        <v>7.9</v>
      </c>
      <c r="L5" s="3">
        <v>51797.71</v>
      </c>
      <c r="M5" t="s">
        <v>142</v>
      </c>
      <c r="N5" t="s">
        <v>162</v>
      </c>
      <c r="O5" t="s">
        <v>163</v>
      </c>
      <c r="P5" t="str">
        <f t="shared" si="0"/>
        <v>2025-04</v>
      </c>
      <c r="Q5">
        <f>IF(tblWO[[#This Row],[Status]]="Completed",1,
IF(tblWO[[#This Row],[Status]]="In Progress",2,
IF(tblWO[[#This Row],[Status]]="Planned",3,
IF(tblWO[[#This Row],[Status]]="Cancelled",4,99))))</f>
        <v>1</v>
      </c>
      <c r="R5">
        <f t="shared" si="2"/>
        <v>1</v>
      </c>
      <c r="S5" s="6" t="str">
        <f t="shared" si="1"/>
        <v>2025-04</v>
      </c>
    </row>
    <row r="6" spans="1:19">
      <c r="A6" t="s">
        <v>164</v>
      </c>
      <c r="B6" t="s">
        <v>7</v>
      </c>
      <c r="C6" t="s">
        <v>8</v>
      </c>
      <c r="D6" t="s">
        <v>158</v>
      </c>
      <c r="E6" t="s">
        <v>37</v>
      </c>
      <c r="F6" t="s">
        <v>138</v>
      </c>
      <c r="G6" t="s">
        <v>165</v>
      </c>
      <c r="H6" t="s">
        <v>166</v>
      </c>
      <c r="I6" t="s">
        <v>166</v>
      </c>
      <c r="J6" t="s">
        <v>167</v>
      </c>
      <c r="K6" s="2">
        <v>8.6999999999999993</v>
      </c>
      <c r="L6" s="3">
        <v>103559.2</v>
      </c>
      <c r="M6" t="s">
        <v>142</v>
      </c>
      <c r="N6" t="s">
        <v>143</v>
      </c>
      <c r="O6" t="s">
        <v>163</v>
      </c>
      <c r="P6" t="str">
        <f t="shared" si="0"/>
        <v>2025-01</v>
      </c>
      <c r="Q6">
        <f>IF(tblWO[[#This Row],[Status]]="Completed",1,
IF(tblWO[[#This Row],[Status]]="In Progress",2,
IF(tblWO[[#This Row],[Status]]="Planned",3,
IF(tblWO[[#This Row],[Status]]="Cancelled",4,99))))</f>
        <v>1</v>
      </c>
      <c r="R6">
        <f t="shared" si="2"/>
        <v>1</v>
      </c>
      <c r="S6" s="6" t="str">
        <f t="shared" si="1"/>
        <v>2025-01</v>
      </c>
    </row>
    <row r="7" spans="1:19">
      <c r="A7" t="s">
        <v>168</v>
      </c>
      <c r="B7" t="s">
        <v>7</v>
      </c>
      <c r="C7" t="s">
        <v>8</v>
      </c>
      <c r="D7" t="s">
        <v>169</v>
      </c>
      <c r="E7" t="s">
        <v>32</v>
      </c>
      <c r="F7" t="s">
        <v>138</v>
      </c>
      <c r="G7" t="s">
        <v>170</v>
      </c>
      <c r="H7" t="s">
        <v>171</v>
      </c>
      <c r="I7" t="s">
        <v>171</v>
      </c>
      <c r="J7" t="s">
        <v>172</v>
      </c>
      <c r="K7" s="2">
        <v>15.6</v>
      </c>
      <c r="L7" s="3">
        <v>258158.49</v>
      </c>
      <c r="M7" t="s">
        <v>173</v>
      </c>
      <c r="N7" t="s">
        <v>174</v>
      </c>
      <c r="O7" t="s">
        <v>175</v>
      </c>
      <c r="P7" t="str">
        <f t="shared" si="0"/>
        <v>2025-10</v>
      </c>
      <c r="Q7">
        <f>IF(tblWO[[#This Row],[Status]]="Completed",1,
IF(tblWO[[#This Row],[Status]]="In Progress",2,
IF(tblWO[[#This Row],[Status]]="Planned",3,
IF(tblWO[[#This Row],[Status]]="Cancelled",4,99))))</f>
        <v>1</v>
      </c>
      <c r="R7">
        <f t="shared" si="2"/>
        <v>4</v>
      </c>
      <c r="S7" s="6" t="str">
        <f t="shared" si="1"/>
        <v>2025-10</v>
      </c>
    </row>
    <row r="8" spans="1:19">
      <c r="A8" t="s">
        <v>176</v>
      </c>
      <c r="B8" t="s">
        <v>7</v>
      </c>
      <c r="C8" t="s">
        <v>8</v>
      </c>
      <c r="D8" t="s">
        <v>158</v>
      </c>
      <c r="E8" t="s">
        <v>45</v>
      </c>
      <c r="F8" t="s">
        <v>138</v>
      </c>
      <c r="G8" t="s">
        <v>177</v>
      </c>
      <c r="H8" t="s">
        <v>178</v>
      </c>
      <c r="I8" t="s">
        <v>178</v>
      </c>
      <c r="J8" t="s">
        <v>179</v>
      </c>
      <c r="K8" s="2">
        <v>11.8</v>
      </c>
      <c r="L8" s="3">
        <v>74604.47</v>
      </c>
      <c r="M8" t="s">
        <v>142</v>
      </c>
      <c r="N8" t="s">
        <v>174</v>
      </c>
      <c r="O8" t="s">
        <v>163</v>
      </c>
      <c r="P8" t="str">
        <f t="shared" si="0"/>
        <v>2025-07</v>
      </c>
      <c r="Q8">
        <f>IF(tblWO[[#This Row],[Status]]="Completed",1,
IF(tblWO[[#This Row],[Status]]="In Progress",2,
IF(tblWO[[#This Row],[Status]]="Planned",3,
IF(tblWO[[#This Row],[Status]]="Cancelled",4,99))))</f>
        <v>1</v>
      </c>
      <c r="R8">
        <f t="shared" si="2"/>
        <v>1</v>
      </c>
      <c r="S8" s="6" t="str">
        <f t="shared" si="1"/>
        <v>2025-07</v>
      </c>
    </row>
    <row r="9" spans="1:19">
      <c r="A9" t="s">
        <v>180</v>
      </c>
      <c r="B9" t="s">
        <v>7</v>
      </c>
      <c r="C9" t="s">
        <v>8</v>
      </c>
      <c r="D9" t="s">
        <v>169</v>
      </c>
      <c r="E9" t="s">
        <v>10</v>
      </c>
      <c r="F9" t="s">
        <v>138</v>
      </c>
      <c r="G9" t="s">
        <v>181</v>
      </c>
      <c r="H9" t="s">
        <v>182</v>
      </c>
      <c r="I9" t="s">
        <v>182</v>
      </c>
      <c r="J9" t="s">
        <v>183</v>
      </c>
      <c r="K9" s="2">
        <v>15.3</v>
      </c>
      <c r="L9" s="3">
        <v>477576.84</v>
      </c>
      <c r="M9" t="s">
        <v>184</v>
      </c>
      <c r="N9" t="s">
        <v>185</v>
      </c>
      <c r="O9" t="s">
        <v>175</v>
      </c>
      <c r="P9" t="str">
        <f t="shared" si="0"/>
        <v>2025-04</v>
      </c>
      <c r="Q9">
        <f>IF(tblWO[[#This Row],[Status]]="Completed",1,
IF(tblWO[[#This Row],[Status]]="In Progress",2,
IF(tblWO[[#This Row],[Status]]="Planned",3,
IF(tblWO[[#This Row],[Status]]="Cancelled",4,99))))</f>
        <v>1</v>
      </c>
      <c r="R9">
        <f t="shared" si="2"/>
        <v>4</v>
      </c>
      <c r="S9" s="6" t="str">
        <f t="shared" si="1"/>
        <v>2025-04</v>
      </c>
    </row>
    <row r="10" spans="1:19">
      <c r="A10" t="s">
        <v>186</v>
      </c>
      <c r="B10" t="s">
        <v>7</v>
      </c>
      <c r="C10" t="s">
        <v>8</v>
      </c>
      <c r="D10" t="s">
        <v>158</v>
      </c>
      <c r="E10" t="s">
        <v>45</v>
      </c>
      <c r="F10" t="s">
        <v>138</v>
      </c>
      <c r="G10" t="s">
        <v>187</v>
      </c>
      <c r="H10" t="s">
        <v>188</v>
      </c>
      <c r="I10" t="s">
        <v>188</v>
      </c>
      <c r="J10" t="s">
        <v>189</v>
      </c>
      <c r="K10" s="2">
        <v>2.1</v>
      </c>
      <c r="L10" s="3">
        <v>73315.69</v>
      </c>
      <c r="M10" t="s">
        <v>142</v>
      </c>
      <c r="N10" t="s">
        <v>150</v>
      </c>
      <c r="O10" t="s">
        <v>163</v>
      </c>
      <c r="P10" t="str">
        <f t="shared" si="0"/>
        <v>2025-09</v>
      </c>
      <c r="Q10">
        <f>IF(tblWO[[#This Row],[Status]]="Completed",1,
IF(tblWO[[#This Row],[Status]]="In Progress",2,
IF(tblWO[[#This Row],[Status]]="Planned",3,
IF(tblWO[[#This Row],[Status]]="Cancelled",4,99))))</f>
        <v>1</v>
      </c>
      <c r="R10">
        <f t="shared" si="2"/>
        <v>1</v>
      </c>
      <c r="S10" s="6" t="str">
        <f t="shared" si="1"/>
        <v>2025-09</v>
      </c>
    </row>
    <row r="11" spans="1:19">
      <c r="A11" t="s">
        <v>190</v>
      </c>
      <c r="B11" t="s">
        <v>7</v>
      </c>
      <c r="C11" t="s">
        <v>8</v>
      </c>
      <c r="D11" t="s">
        <v>158</v>
      </c>
      <c r="E11" t="s">
        <v>32</v>
      </c>
      <c r="F11" t="s">
        <v>147</v>
      </c>
      <c r="G11" t="s">
        <v>191</v>
      </c>
      <c r="H11" t="s">
        <v>192</v>
      </c>
      <c r="K11" s="2">
        <v>0</v>
      </c>
      <c r="L11" s="3">
        <v>0</v>
      </c>
      <c r="N11" t="s">
        <v>143</v>
      </c>
      <c r="O11" t="s">
        <v>163</v>
      </c>
      <c r="P11" t="str">
        <f t="shared" si="0"/>
        <v>2025-08</v>
      </c>
      <c r="Q11">
        <f>IF(tblWO[[#This Row],[Status]]="Completed",1,
IF(tblWO[[#This Row],[Status]]="In Progress",2,
IF(tblWO[[#This Row],[Status]]="Planned",3,
IF(tblWO[[#This Row],[Status]]="Cancelled",4,99))))</f>
        <v>2</v>
      </c>
      <c r="R11">
        <f t="shared" si="2"/>
        <v>1</v>
      </c>
      <c r="S11" s="6" t="str">
        <f t="shared" si="1"/>
        <v>2025-08</v>
      </c>
    </row>
    <row r="12" spans="1:19">
      <c r="A12" t="s">
        <v>193</v>
      </c>
      <c r="B12" t="s">
        <v>7</v>
      </c>
      <c r="C12" t="s">
        <v>8</v>
      </c>
      <c r="D12" t="s">
        <v>158</v>
      </c>
      <c r="E12" t="s">
        <v>45</v>
      </c>
      <c r="F12" t="s">
        <v>138</v>
      </c>
      <c r="G12" t="s">
        <v>194</v>
      </c>
      <c r="H12" t="s">
        <v>195</v>
      </c>
      <c r="I12" t="s">
        <v>195</v>
      </c>
      <c r="J12" t="s">
        <v>196</v>
      </c>
      <c r="K12" s="2">
        <v>6.2</v>
      </c>
      <c r="L12" s="3">
        <v>289329.40999999997</v>
      </c>
      <c r="M12" t="s">
        <v>142</v>
      </c>
      <c r="N12" t="s">
        <v>156</v>
      </c>
      <c r="O12" t="s">
        <v>163</v>
      </c>
      <c r="P12" t="str">
        <f t="shared" si="0"/>
        <v>2025-07</v>
      </c>
      <c r="Q12">
        <f>IF(tblWO[[#This Row],[Status]]="Completed",1,
IF(tblWO[[#This Row],[Status]]="In Progress",2,
IF(tblWO[[#This Row],[Status]]="Planned",3,
IF(tblWO[[#This Row],[Status]]="Cancelled",4,99))))</f>
        <v>1</v>
      </c>
      <c r="R12">
        <f t="shared" si="2"/>
        <v>1</v>
      </c>
      <c r="S12" s="6" t="str">
        <f t="shared" si="1"/>
        <v>2025-07</v>
      </c>
    </row>
    <row r="13" spans="1:19">
      <c r="A13" t="s">
        <v>197</v>
      </c>
      <c r="B13" t="s">
        <v>7</v>
      </c>
      <c r="C13" t="s">
        <v>8</v>
      </c>
      <c r="D13" t="s">
        <v>158</v>
      </c>
      <c r="E13" t="s">
        <v>45</v>
      </c>
      <c r="F13" t="s">
        <v>138</v>
      </c>
      <c r="G13" t="s">
        <v>198</v>
      </c>
      <c r="H13" t="s">
        <v>199</v>
      </c>
      <c r="I13" t="s">
        <v>199</v>
      </c>
      <c r="J13" t="s">
        <v>200</v>
      </c>
      <c r="K13" s="2">
        <v>2.6</v>
      </c>
      <c r="L13" s="3">
        <v>128401.2</v>
      </c>
      <c r="M13" t="s">
        <v>142</v>
      </c>
      <c r="N13" t="s">
        <v>162</v>
      </c>
      <c r="O13" t="s">
        <v>163</v>
      </c>
      <c r="P13" t="str">
        <f t="shared" si="0"/>
        <v>2025-05</v>
      </c>
      <c r="Q13">
        <f>IF(tblWO[[#This Row],[Status]]="Completed",1,
IF(tblWO[[#This Row],[Status]]="In Progress",2,
IF(tblWO[[#This Row],[Status]]="Planned",3,
IF(tblWO[[#This Row],[Status]]="Cancelled",4,99))))</f>
        <v>1</v>
      </c>
      <c r="R13">
        <f t="shared" si="2"/>
        <v>1</v>
      </c>
      <c r="S13" s="6" t="str">
        <f t="shared" si="1"/>
        <v>2025-05</v>
      </c>
    </row>
    <row r="14" spans="1:19">
      <c r="A14" t="s">
        <v>201</v>
      </c>
      <c r="B14" t="s">
        <v>7</v>
      </c>
      <c r="C14" t="s">
        <v>8</v>
      </c>
      <c r="D14" t="s">
        <v>146</v>
      </c>
      <c r="E14" t="s">
        <v>10</v>
      </c>
      <c r="F14" t="s">
        <v>202</v>
      </c>
      <c r="G14" t="s">
        <v>203</v>
      </c>
      <c r="H14" t="s">
        <v>204</v>
      </c>
      <c r="K14" s="2">
        <v>0</v>
      </c>
      <c r="L14" s="3">
        <v>0</v>
      </c>
      <c r="N14" t="s">
        <v>143</v>
      </c>
      <c r="O14" t="s">
        <v>151</v>
      </c>
      <c r="P14" t="str">
        <f t="shared" si="0"/>
        <v>2025-09</v>
      </c>
      <c r="Q14">
        <f>IF(tblWO[[#This Row],[Status]]="Completed",1,
IF(tblWO[[#This Row],[Status]]="In Progress",2,
IF(tblWO[[#This Row],[Status]]="Planned",3,
IF(tblWO[[#This Row],[Status]]="Cancelled",4,99))))</f>
        <v>3</v>
      </c>
      <c r="R14">
        <f t="shared" si="2"/>
        <v>3</v>
      </c>
      <c r="S14" s="6" t="str">
        <f t="shared" si="1"/>
        <v>2025-09</v>
      </c>
    </row>
    <row r="15" spans="1:19">
      <c r="A15" t="s">
        <v>205</v>
      </c>
      <c r="B15" t="s">
        <v>7</v>
      </c>
      <c r="C15" t="s">
        <v>8</v>
      </c>
      <c r="D15" t="s">
        <v>158</v>
      </c>
      <c r="E15" t="s">
        <v>10</v>
      </c>
      <c r="F15" t="s">
        <v>138</v>
      </c>
      <c r="G15" t="s">
        <v>206</v>
      </c>
      <c r="H15" t="s">
        <v>207</v>
      </c>
      <c r="I15" t="s">
        <v>207</v>
      </c>
      <c r="J15" t="s">
        <v>208</v>
      </c>
      <c r="K15" s="2">
        <v>10.9</v>
      </c>
      <c r="L15" s="3">
        <v>111553.84</v>
      </c>
      <c r="M15" t="s">
        <v>142</v>
      </c>
      <c r="N15" t="s">
        <v>162</v>
      </c>
      <c r="O15" t="s">
        <v>163</v>
      </c>
      <c r="P15" t="str">
        <f t="shared" si="0"/>
        <v>2025-01</v>
      </c>
      <c r="Q15">
        <f>IF(tblWO[[#This Row],[Status]]="Completed",1,
IF(tblWO[[#This Row],[Status]]="In Progress",2,
IF(tblWO[[#This Row],[Status]]="Planned",3,
IF(tblWO[[#This Row],[Status]]="Cancelled",4,99))))</f>
        <v>1</v>
      </c>
      <c r="R15">
        <f t="shared" si="2"/>
        <v>1</v>
      </c>
      <c r="S15" s="6" t="str">
        <f t="shared" si="1"/>
        <v>2025-01</v>
      </c>
    </row>
    <row r="16" spans="1:19">
      <c r="A16" t="s">
        <v>209</v>
      </c>
      <c r="B16" t="s">
        <v>7</v>
      </c>
      <c r="C16" t="s">
        <v>8</v>
      </c>
      <c r="D16" t="s">
        <v>146</v>
      </c>
      <c r="E16" t="s">
        <v>32</v>
      </c>
      <c r="F16" t="s">
        <v>138</v>
      </c>
      <c r="G16" t="s">
        <v>210</v>
      </c>
      <c r="H16" t="s">
        <v>211</v>
      </c>
      <c r="I16" t="s">
        <v>211</v>
      </c>
      <c r="J16" t="s">
        <v>212</v>
      </c>
      <c r="K16" s="2">
        <v>8.1</v>
      </c>
      <c r="L16" s="3">
        <v>386476.72</v>
      </c>
      <c r="M16" t="s">
        <v>213</v>
      </c>
      <c r="N16" t="s">
        <v>150</v>
      </c>
      <c r="O16" t="s">
        <v>151</v>
      </c>
      <c r="P16" t="str">
        <f t="shared" si="0"/>
        <v>2025-11</v>
      </c>
      <c r="Q16">
        <f>IF(tblWO[[#This Row],[Status]]="Completed",1,
IF(tblWO[[#This Row],[Status]]="In Progress",2,
IF(tblWO[[#This Row],[Status]]="Planned",3,
IF(tblWO[[#This Row],[Status]]="Cancelled",4,99))))</f>
        <v>1</v>
      </c>
      <c r="R16">
        <f t="shared" si="2"/>
        <v>3</v>
      </c>
      <c r="S16" s="6" t="str">
        <f t="shared" si="1"/>
        <v>2025-11</v>
      </c>
    </row>
    <row r="17" spans="1:19">
      <c r="A17" t="s">
        <v>214</v>
      </c>
      <c r="B17" t="s">
        <v>7</v>
      </c>
      <c r="C17" t="s">
        <v>8</v>
      </c>
      <c r="D17" t="s">
        <v>158</v>
      </c>
      <c r="E17" t="s">
        <v>37</v>
      </c>
      <c r="F17" t="s">
        <v>138</v>
      </c>
      <c r="G17" t="s">
        <v>215</v>
      </c>
      <c r="H17" t="s">
        <v>216</v>
      </c>
      <c r="I17" t="s">
        <v>216</v>
      </c>
      <c r="J17" t="s">
        <v>217</v>
      </c>
      <c r="K17" s="2">
        <v>9.5</v>
      </c>
      <c r="L17" s="3">
        <v>68135.78</v>
      </c>
      <c r="M17" t="s">
        <v>142</v>
      </c>
      <c r="N17" t="s">
        <v>156</v>
      </c>
      <c r="O17" t="s">
        <v>163</v>
      </c>
      <c r="P17" t="str">
        <f t="shared" si="0"/>
        <v>2025-02</v>
      </c>
      <c r="Q17">
        <f>IF(tblWO[[#This Row],[Status]]="Completed",1,
IF(tblWO[[#This Row],[Status]]="In Progress",2,
IF(tblWO[[#This Row],[Status]]="Planned",3,
IF(tblWO[[#This Row],[Status]]="Cancelled",4,99))))</f>
        <v>1</v>
      </c>
      <c r="R17">
        <f t="shared" si="2"/>
        <v>1</v>
      </c>
      <c r="S17" s="6" t="str">
        <f t="shared" si="1"/>
        <v>2025-02</v>
      </c>
    </row>
    <row r="18" spans="1:19">
      <c r="A18" t="s">
        <v>218</v>
      </c>
      <c r="B18" t="s">
        <v>7</v>
      </c>
      <c r="C18" t="s">
        <v>8</v>
      </c>
      <c r="D18" t="s">
        <v>146</v>
      </c>
      <c r="E18" t="s">
        <v>37</v>
      </c>
      <c r="F18" t="s">
        <v>138</v>
      </c>
      <c r="G18" t="s">
        <v>219</v>
      </c>
      <c r="H18" t="s">
        <v>220</v>
      </c>
      <c r="I18" t="s">
        <v>220</v>
      </c>
      <c r="J18" t="s">
        <v>221</v>
      </c>
      <c r="K18" s="2">
        <v>22.7</v>
      </c>
      <c r="L18" s="3">
        <v>452345.67</v>
      </c>
      <c r="M18" t="s">
        <v>173</v>
      </c>
      <c r="N18" t="s">
        <v>150</v>
      </c>
      <c r="O18" t="s">
        <v>151</v>
      </c>
      <c r="P18" t="str">
        <f t="shared" si="0"/>
        <v>2025-02</v>
      </c>
      <c r="Q18">
        <f>IF(tblWO[[#This Row],[Status]]="Completed",1,
IF(tblWO[[#This Row],[Status]]="In Progress",2,
IF(tblWO[[#This Row],[Status]]="Planned",3,
IF(tblWO[[#This Row],[Status]]="Cancelled",4,99))))</f>
        <v>1</v>
      </c>
      <c r="R18">
        <f t="shared" si="2"/>
        <v>3</v>
      </c>
      <c r="S18" s="6" t="str">
        <f t="shared" si="1"/>
        <v>2025-02</v>
      </c>
    </row>
    <row r="19" spans="1:19">
      <c r="A19" t="s">
        <v>222</v>
      </c>
      <c r="B19" t="s">
        <v>7</v>
      </c>
      <c r="C19" t="s">
        <v>8</v>
      </c>
      <c r="D19" t="s">
        <v>158</v>
      </c>
      <c r="E19" t="s">
        <v>37</v>
      </c>
      <c r="F19" t="s">
        <v>138</v>
      </c>
      <c r="G19" t="s">
        <v>223</v>
      </c>
      <c r="H19" t="s">
        <v>224</v>
      </c>
      <c r="I19" t="s">
        <v>224</v>
      </c>
      <c r="J19" t="s">
        <v>225</v>
      </c>
      <c r="K19" s="2">
        <v>11.8</v>
      </c>
      <c r="L19" s="3">
        <v>251774.99</v>
      </c>
      <c r="M19" t="s">
        <v>142</v>
      </c>
      <c r="N19" t="s">
        <v>162</v>
      </c>
      <c r="O19" t="s">
        <v>163</v>
      </c>
      <c r="P19" t="str">
        <f t="shared" si="0"/>
        <v>2025-03</v>
      </c>
      <c r="Q19">
        <f>IF(tblWO[[#This Row],[Status]]="Completed",1,
IF(tblWO[[#This Row],[Status]]="In Progress",2,
IF(tblWO[[#This Row],[Status]]="Planned",3,
IF(tblWO[[#This Row],[Status]]="Cancelled",4,99))))</f>
        <v>1</v>
      </c>
      <c r="R19">
        <f t="shared" si="2"/>
        <v>1</v>
      </c>
      <c r="S19" s="6" t="str">
        <f t="shared" si="1"/>
        <v>2025-03</v>
      </c>
    </row>
    <row r="20" spans="1:19">
      <c r="A20" t="s">
        <v>226</v>
      </c>
      <c r="B20" t="s">
        <v>14</v>
      </c>
      <c r="C20" t="s">
        <v>15</v>
      </c>
      <c r="D20" t="s">
        <v>169</v>
      </c>
      <c r="E20" t="s">
        <v>37</v>
      </c>
      <c r="F20" t="s">
        <v>147</v>
      </c>
      <c r="G20" t="s">
        <v>227</v>
      </c>
      <c r="H20" t="s">
        <v>228</v>
      </c>
      <c r="K20" s="2">
        <v>0</v>
      </c>
      <c r="L20" s="3">
        <v>0</v>
      </c>
      <c r="N20" t="s">
        <v>185</v>
      </c>
      <c r="O20" t="s">
        <v>229</v>
      </c>
      <c r="P20" t="str">
        <f t="shared" si="0"/>
        <v>2025-11</v>
      </c>
      <c r="Q20">
        <f>IF(tblWO[[#This Row],[Status]]="Completed",1,
IF(tblWO[[#This Row],[Status]]="In Progress",2,
IF(tblWO[[#This Row],[Status]]="Planned",3,
IF(tblWO[[#This Row],[Status]]="Cancelled",4,99))))</f>
        <v>2</v>
      </c>
      <c r="R20">
        <f t="shared" si="2"/>
        <v>4</v>
      </c>
      <c r="S20" s="6" t="str">
        <f t="shared" si="1"/>
        <v>2025-11</v>
      </c>
    </row>
    <row r="21" spans="1:19">
      <c r="A21" t="s">
        <v>230</v>
      </c>
      <c r="B21" t="s">
        <v>14</v>
      </c>
      <c r="C21" t="s">
        <v>15</v>
      </c>
      <c r="D21" t="s">
        <v>169</v>
      </c>
      <c r="E21" t="s">
        <v>37</v>
      </c>
      <c r="F21" t="s">
        <v>138</v>
      </c>
      <c r="G21" t="s">
        <v>231</v>
      </c>
      <c r="H21" t="s">
        <v>232</v>
      </c>
      <c r="I21" t="s">
        <v>232</v>
      </c>
      <c r="J21" t="s">
        <v>233</v>
      </c>
      <c r="K21" s="2">
        <v>35.5</v>
      </c>
      <c r="L21" s="3">
        <v>711747.69</v>
      </c>
      <c r="M21" t="s">
        <v>234</v>
      </c>
      <c r="N21" t="s">
        <v>156</v>
      </c>
      <c r="O21" t="s">
        <v>229</v>
      </c>
      <c r="P21" t="str">
        <f t="shared" si="0"/>
        <v>2025-05</v>
      </c>
      <c r="Q21">
        <f>IF(tblWO[[#This Row],[Status]]="Completed",1,
IF(tblWO[[#This Row],[Status]]="In Progress",2,
IF(tblWO[[#This Row],[Status]]="Planned",3,
IF(tblWO[[#This Row],[Status]]="Cancelled",4,99))))</f>
        <v>1</v>
      </c>
      <c r="R21">
        <f t="shared" si="2"/>
        <v>4</v>
      </c>
      <c r="S21" s="6" t="str">
        <f t="shared" si="1"/>
        <v>2025-05</v>
      </c>
    </row>
    <row r="22" spans="1:19">
      <c r="A22" t="s">
        <v>235</v>
      </c>
      <c r="B22" t="s">
        <v>14</v>
      </c>
      <c r="C22" t="s">
        <v>15</v>
      </c>
      <c r="D22" t="s">
        <v>158</v>
      </c>
      <c r="E22" t="s">
        <v>37</v>
      </c>
      <c r="F22" t="s">
        <v>138</v>
      </c>
      <c r="G22" t="s">
        <v>236</v>
      </c>
      <c r="H22" t="s">
        <v>237</v>
      </c>
      <c r="I22" t="s">
        <v>237</v>
      </c>
      <c r="J22" t="s">
        <v>238</v>
      </c>
      <c r="K22" s="2">
        <v>2</v>
      </c>
      <c r="L22" s="3">
        <v>242779.81</v>
      </c>
      <c r="M22" t="s">
        <v>142</v>
      </c>
      <c r="N22" t="s">
        <v>239</v>
      </c>
      <c r="O22" t="s">
        <v>240</v>
      </c>
      <c r="P22" t="str">
        <f t="shared" si="0"/>
        <v>2025-01</v>
      </c>
      <c r="Q22">
        <f>IF(tblWO[[#This Row],[Status]]="Completed",1,
IF(tblWO[[#This Row],[Status]]="In Progress",2,
IF(tblWO[[#This Row],[Status]]="Planned",3,
IF(tblWO[[#This Row],[Status]]="Cancelled",4,99))))</f>
        <v>1</v>
      </c>
      <c r="R22">
        <f t="shared" si="2"/>
        <v>1</v>
      </c>
      <c r="S22" s="6" t="str">
        <f t="shared" si="1"/>
        <v>2025-01</v>
      </c>
    </row>
    <row r="23" spans="1:19">
      <c r="A23" t="s">
        <v>241</v>
      </c>
      <c r="B23" t="s">
        <v>14</v>
      </c>
      <c r="C23" t="s">
        <v>15</v>
      </c>
      <c r="D23" t="s">
        <v>158</v>
      </c>
      <c r="E23" t="s">
        <v>10</v>
      </c>
      <c r="F23" t="s">
        <v>138</v>
      </c>
      <c r="G23" t="s">
        <v>242</v>
      </c>
      <c r="H23" t="s">
        <v>243</v>
      </c>
      <c r="I23" t="s">
        <v>243</v>
      </c>
      <c r="J23" t="s">
        <v>244</v>
      </c>
      <c r="K23" s="2">
        <v>2.8</v>
      </c>
      <c r="L23" s="3">
        <v>270776.59999999998</v>
      </c>
      <c r="M23" t="s">
        <v>142</v>
      </c>
      <c r="N23" t="s">
        <v>143</v>
      </c>
      <c r="O23" t="s">
        <v>240</v>
      </c>
      <c r="P23" t="str">
        <f t="shared" si="0"/>
        <v>2025-08</v>
      </c>
      <c r="Q23">
        <f>IF(tblWO[[#This Row],[Status]]="Completed",1,
IF(tblWO[[#This Row],[Status]]="In Progress",2,
IF(tblWO[[#This Row],[Status]]="Planned",3,
IF(tblWO[[#This Row],[Status]]="Cancelled",4,99))))</f>
        <v>1</v>
      </c>
      <c r="R23">
        <f t="shared" si="2"/>
        <v>1</v>
      </c>
      <c r="S23" s="6" t="str">
        <f t="shared" si="1"/>
        <v>2025-08</v>
      </c>
    </row>
    <row r="24" spans="1:19">
      <c r="A24" t="s">
        <v>245</v>
      </c>
      <c r="B24" t="s">
        <v>14</v>
      </c>
      <c r="C24" t="s">
        <v>15</v>
      </c>
      <c r="D24" t="s">
        <v>146</v>
      </c>
      <c r="E24" t="s">
        <v>10</v>
      </c>
      <c r="F24" t="s">
        <v>138</v>
      </c>
      <c r="G24" t="s">
        <v>246</v>
      </c>
      <c r="H24" t="s">
        <v>247</v>
      </c>
      <c r="I24" t="s">
        <v>247</v>
      </c>
      <c r="J24" t="s">
        <v>248</v>
      </c>
      <c r="K24" s="2">
        <v>11.3</v>
      </c>
      <c r="L24" s="3">
        <v>473235.20000000001</v>
      </c>
      <c r="M24" t="s">
        <v>249</v>
      </c>
      <c r="N24" t="s">
        <v>162</v>
      </c>
      <c r="O24" t="s">
        <v>250</v>
      </c>
      <c r="P24" t="str">
        <f t="shared" si="0"/>
        <v>2025-10</v>
      </c>
      <c r="Q24">
        <f>IF(tblWO[[#This Row],[Status]]="Completed",1,
IF(tblWO[[#This Row],[Status]]="In Progress",2,
IF(tblWO[[#This Row],[Status]]="Planned",3,
IF(tblWO[[#This Row],[Status]]="Cancelled",4,99))))</f>
        <v>1</v>
      </c>
      <c r="R24">
        <f t="shared" si="2"/>
        <v>3</v>
      </c>
      <c r="S24" s="6" t="str">
        <f t="shared" si="1"/>
        <v>2025-10</v>
      </c>
    </row>
    <row r="25" spans="1:19">
      <c r="A25" t="s">
        <v>251</v>
      </c>
      <c r="B25" t="s">
        <v>14</v>
      </c>
      <c r="C25" t="s">
        <v>15</v>
      </c>
      <c r="D25" t="s">
        <v>137</v>
      </c>
      <c r="E25" t="s">
        <v>37</v>
      </c>
      <c r="F25" t="s">
        <v>138</v>
      </c>
      <c r="G25" t="s">
        <v>252</v>
      </c>
      <c r="H25" t="s">
        <v>253</v>
      </c>
      <c r="I25" t="s">
        <v>253</v>
      </c>
      <c r="J25" t="s">
        <v>254</v>
      </c>
      <c r="K25" s="2">
        <v>2.7</v>
      </c>
      <c r="L25" s="3">
        <v>89977.02</v>
      </c>
      <c r="M25" t="s">
        <v>142</v>
      </c>
      <c r="N25" t="s">
        <v>143</v>
      </c>
      <c r="O25" t="s">
        <v>255</v>
      </c>
      <c r="P25" t="str">
        <f t="shared" si="0"/>
        <v>2025-04</v>
      </c>
      <c r="Q25">
        <f>IF(tblWO[[#This Row],[Status]]="Completed",1,
IF(tblWO[[#This Row],[Status]]="In Progress",2,
IF(tblWO[[#This Row],[Status]]="Planned",3,
IF(tblWO[[#This Row],[Status]]="Cancelled",4,99))))</f>
        <v>1</v>
      </c>
      <c r="R25">
        <f t="shared" si="2"/>
        <v>2</v>
      </c>
      <c r="S25" s="6" t="str">
        <f t="shared" si="1"/>
        <v>2025-04</v>
      </c>
    </row>
    <row r="26" spans="1:19">
      <c r="A26" t="s">
        <v>256</v>
      </c>
      <c r="B26" t="s">
        <v>14</v>
      </c>
      <c r="C26" t="s">
        <v>15</v>
      </c>
      <c r="D26" t="s">
        <v>137</v>
      </c>
      <c r="E26" t="s">
        <v>32</v>
      </c>
      <c r="F26" t="s">
        <v>202</v>
      </c>
      <c r="G26" t="s">
        <v>257</v>
      </c>
      <c r="H26" t="s">
        <v>258</v>
      </c>
      <c r="K26" s="2">
        <v>0</v>
      </c>
      <c r="L26" s="3">
        <v>0</v>
      </c>
      <c r="N26" t="s">
        <v>174</v>
      </c>
      <c r="O26" t="s">
        <v>255</v>
      </c>
      <c r="P26" t="str">
        <f t="shared" si="0"/>
        <v>2025-04</v>
      </c>
      <c r="Q26">
        <f>IF(tblWO[[#This Row],[Status]]="Completed",1,
IF(tblWO[[#This Row],[Status]]="In Progress",2,
IF(tblWO[[#This Row],[Status]]="Planned",3,
IF(tblWO[[#This Row],[Status]]="Cancelled",4,99))))</f>
        <v>3</v>
      </c>
      <c r="R26">
        <f t="shared" si="2"/>
        <v>2</v>
      </c>
      <c r="S26" s="6" t="str">
        <f t="shared" si="1"/>
        <v>2025-04</v>
      </c>
    </row>
    <row r="27" spans="1:19">
      <c r="A27" t="s">
        <v>259</v>
      </c>
      <c r="B27" t="s">
        <v>14</v>
      </c>
      <c r="C27" t="s">
        <v>15</v>
      </c>
      <c r="D27" t="s">
        <v>158</v>
      </c>
      <c r="E27" t="s">
        <v>45</v>
      </c>
      <c r="F27" t="s">
        <v>138</v>
      </c>
      <c r="G27" t="s">
        <v>260</v>
      </c>
      <c r="H27" t="s">
        <v>261</v>
      </c>
      <c r="I27" t="s">
        <v>261</v>
      </c>
      <c r="J27" t="s">
        <v>262</v>
      </c>
      <c r="K27" s="2">
        <v>9.4</v>
      </c>
      <c r="L27" s="3">
        <v>112041.81</v>
      </c>
      <c r="M27" t="s">
        <v>142</v>
      </c>
      <c r="N27" t="s">
        <v>143</v>
      </c>
      <c r="O27" t="s">
        <v>240</v>
      </c>
      <c r="P27" t="str">
        <f t="shared" si="0"/>
        <v>2025-06</v>
      </c>
      <c r="Q27">
        <f>IF(tblWO[[#This Row],[Status]]="Completed",1,
IF(tblWO[[#This Row],[Status]]="In Progress",2,
IF(tblWO[[#This Row],[Status]]="Planned",3,
IF(tblWO[[#This Row],[Status]]="Cancelled",4,99))))</f>
        <v>1</v>
      </c>
      <c r="R27">
        <f t="shared" si="2"/>
        <v>1</v>
      </c>
      <c r="S27" s="6" t="str">
        <f t="shared" si="1"/>
        <v>2025-06</v>
      </c>
    </row>
    <row r="28" spans="1:19">
      <c r="A28" t="s">
        <v>263</v>
      </c>
      <c r="B28" t="s">
        <v>14</v>
      </c>
      <c r="C28" t="s">
        <v>15</v>
      </c>
      <c r="D28" t="s">
        <v>169</v>
      </c>
      <c r="E28" t="s">
        <v>37</v>
      </c>
      <c r="F28" t="s">
        <v>147</v>
      </c>
      <c r="G28" t="s">
        <v>264</v>
      </c>
      <c r="H28" t="s">
        <v>265</v>
      </c>
      <c r="K28" s="2">
        <v>0</v>
      </c>
      <c r="L28" s="3">
        <v>0</v>
      </c>
      <c r="N28" t="s">
        <v>156</v>
      </c>
      <c r="O28" t="s">
        <v>229</v>
      </c>
      <c r="P28" t="str">
        <f t="shared" si="0"/>
        <v>2025-07</v>
      </c>
      <c r="Q28">
        <f>IF(tblWO[[#This Row],[Status]]="Completed",1,
IF(tblWO[[#This Row],[Status]]="In Progress",2,
IF(tblWO[[#This Row],[Status]]="Planned",3,
IF(tblWO[[#This Row],[Status]]="Cancelled",4,99))))</f>
        <v>2</v>
      </c>
      <c r="R28">
        <f t="shared" si="2"/>
        <v>4</v>
      </c>
      <c r="S28" s="6" t="str">
        <f t="shared" si="1"/>
        <v>2025-07</v>
      </c>
    </row>
    <row r="29" spans="1:19">
      <c r="A29" t="s">
        <v>266</v>
      </c>
      <c r="B29" t="s">
        <v>14</v>
      </c>
      <c r="C29" t="s">
        <v>15</v>
      </c>
      <c r="D29" t="s">
        <v>158</v>
      </c>
      <c r="E29" t="s">
        <v>37</v>
      </c>
      <c r="F29" t="s">
        <v>138</v>
      </c>
      <c r="G29" t="s">
        <v>267</v>
      </c>
      <c r="H29" t="s">
        <v>268</v>
      </c>
      <c r="I29" t="s">
        <v>268</v>
      </c>
      <c r="J29" t="s">
        <v>269</v>
      </c>
      <c r="K29" s="2">
        <v>4.8</v>
      </c>
      <c r="L29" s="3">
        <v>67355.19</v>
      </c>
      <c r="M29" t="s">
        <v>142</v>
      </c>
      <c r="N29" t="s">
        <v>239</v>
      </c>
      <c r="O29" t="s">
        <v>240</v>
      </c>
      <c r="P29" t="str">
        <f t="shared" si="0"/>
        <v>2025-04</v>
      </c>
      <c r="Q29">
        <f>IF(tblWO[[#This Row],[Status]]="Completed",1,
IF(tblWO[[#This Row],[Status]]="In Progress",2,
IF(tblWO[[#This Row],[Status]]="Planned",3,
IF(tblWO[[#This Row],[Status]]="Cancelled",4,99))))</f>
        <v>1</v>
      </c>
      <c r="R29">
        <f t="shared" si="2"/>
        <v>1</v>
      </c>
      <c r="S29" s="6" t="str">
        <f t="shared" si="1"/>
        <v>2025-04</v>
      </c>
    </row>
    <row r="30" spans="1:19">
      <c r="A30" t="s">
        <v>270</v>
      </c>
      <c r="B30" t="s">
        <v>14</v>
      </c>
      <c r="C30" t="s">
        <v>15</v>
      </c>
      <c r="D30" t="s">
        <v>158</v>
      </c>
      <c r="E30" t="s">
        <v>45</v>
      </c>
      <c r="F30" t="s">
        <v>271</v>
      </c>
      <c r="G30" t="s">
        <v>272</v>
      </c>
      <c r="H30" t="s">
        <v>273</v>
      </c>
      <c r="K30" s="2">
        <v>0</v>
      </c>
      <c r="L30" s="3">
        <v>0</v>
      </c>
      <c r="N30" t="s">
        <v>162</v>
      </c>
      <c r="O30" t="s">
        <v>240</v>
      </c>
      <c r="P30" t="str">
        <f t="shared" si="0"/>
        <v>2025-09</v>
      </c>
      <c r="Q30">
        <f>IF(tblWO[[#This Row],[Status]]="Completed",1,
IF(tblWO[[#This Row],[Status]]="In Progress",2,
IF(tblWO[[#This Row],[Status]]="Planned",3,
IF(tblWO[[#This Row],[Status]]="Cancelled",4,99))))</f>
        <v>4</v>
      </c>
      <c r="R30">
        <f t="shared" si="2"/>
        <v>1</v>
      </c>
      <c r="S30" s="6" t="str">
        <f t="shared" si="1"/>
        <v>2025-09</v>
      </c>
    </row>
    <row r="31" spans="1:19">
      <c r="A31" t="s">
        <v>274</v>
      </c>
      <c r="B31" t="s">
        <v>14</v>
      </c>
      <c r="C31" t="s">
        <v>15</v>
      </c>
      <c r="D31" t="s">
        <v>158</v>
      </c>
      <c r="E31" t="s">
        <v>37</v>
      </c>
      <c r="F31" t="s">
        <v>202</v>
      </c>
      <c r="G31" t="s">
        <v>275</v>
      </c>
      <c r="H31" t="s">
        <v>276</v>
      </c>
      <c r="K31" s="2">
        <v>0</v>
      </c>
      <c r="L31" s="3">
        <v>0</v>
      </c>
      <c r="N31" t="s">
        <v>185</v>
      </c>
      <c r="O31" t="s">
        <v>240</v>
      </c>
      <c r="P31" t="str">
        <f t="shared" si="0"/>
        <v>2025-05</v>
      </c>
      <c r="Q31">
        <f>IF(tblWO[[#This Row],[Status]]="Completed",1,
IF(tblWO[[#This Row],[Status]]="In Progress",2,
IF(tblWO[[#This Row],[Status]]="Planned",3,
IF(tblWO[[#This Row],[Status]]="Cancelled",4,99))))</f>
        <v>3</v>
      </c>
      <c r="R31">
        <f t="shared" si="2"/>
        <v>1</v>
      </c>
      <c r="S31" s="6" t="str">
        <f t="shared" si="1"/>
        <v>2025-05</v>
      </c>
    </row>
    <row r="32" spans="1:19">
      <c r="A32" t="s">
        <v>277</v>
      </c>
      <c r="B32" t="s">
        <v>14</v>
      </c>
      <c r="C32" t="s">
        <v>15</v>
      </c>
      <c r="D32" t="s">
        <v>146</v>
      </c>
      <c r="E32" t="s">
        <v>10</v>
      </c>
      <c r="F32" t="s">
        <v>271</v>
      </c>
      <c r="G32" t="s">
        <v>278</v>
      </c>
      <c r="H32" t="s">
        <v>279</v>
      </c>
      <c r="K32" s="2">
        <v>0</v>
      </c>
      <c r="L32" s="3">
        <v>0</v>
      </c>
      <c r="N32" t="s">
        <v>150</v>
      </c>
      <c r="O32" t="s">
        <v>250</v>
      </c>
      <c r="P32" t="str">
        <f t="shared" si="0"/>
        <v>2025-05</v>
      </c>
      <c r="Q32">
        <f>IF(tblWO[[#This Row],[Status]]="Completed",1,
IF(tblWO[[#This Row],[Status]]="In Progress",2,
IF(tblWO[[#This Row],[Status]]="Planned",3,
IF(tblWO[[#This Row],[Status]]="Cancelled",4,99))))</f>
        <v>4</v>
      </c>
      <c r="R32">
        <f t="shared" si="2"/>
        <v>3</v>
      </c>
      <c r="S32" s="6" t="str">
        <f t="shared" si="1"/>
        <v>2025-05</v>
      </c>
    </row>
    <row r="33" spans="1:19">
      <c r="A33" t="s">
        <v>280</v>
      </c>
      <c r="B33" t="s">
        <v>14</v>
      </c>
      <c r="C33" t="s">
        <v>15</v>
      </c>
      <c r="D33" t="s">
        <v>158</v>
      </c>
      <c r="E33" t="s">
        <v>32</v>
      </c>
      <c r="F33" t="s">
        <v>138</v>
      </c>
      <c r="G33" t="s">
        <v>281</v>
      </c>
      <c r="H33" t="s">
        <v>282</v>
      </c>
      <c r="I33" t="s">
        <v>282</v>
      </c>
      <c r="J33" t="s">
        <v>283</v>
      </c>
      <c r="K33" s="2">
        <v>8.9</v>
      </c>
      <c r="L33" s="3">
        <v>285065.78000000003</v>
      </c>
      <c r="M33" t="s">
        <v>142</v>
      </c>
      <c r="N33" t="s">
        <v>150</v>
      </c>
      <c r="O33" t="s">
        <v>240</v>
      </c>
      <c r="P33" t="str">
        <f t="shared" si="0"/>
        <v>2025-12</v>
      </c>
      <c r="Q33">
        <f>IF(tblWO[[#This Row],[Status]]="Completed",1,
IF(tblWO[[#This Row],[Status]]="In Progress",2,
IF(tblWO[[#This Row],[Status]]="Planned",3,
IF(tblWO[[#This Row],[Status]]="Cancelled",4,99))))</f>
        <v>1</v>
      </c>
      <c r="R33">
        <f t="shared" si="2"/>
        <v>1</v>
      </c>
      <c r="S33" s="6" t="str">
        <f t="shared" si="1"/>
        <v>2025-12</v>
      </c>
    </row>
    <row r="34" spans="1:19">
      <c r="A34" t="s">
        <v>284</v>
      </c>
      <c r="B34" t="s">
        <v>14</v>
      </c>
      <c r="C34" t="s">
        <v>15</v>
      </c>
      <c r="D34" t="s">
        <v>158</v>
      </c>
      <c r="E34" t="s">
        <v>45</v>
      </c>
      <c r="F34" t="s">
        <v>147</v>
      </c>
      <c r="G34" t="s">
        <v>285</v>
      </c>
      <c r="H34" t="s">
        <v>286</v>
      </c>
      <c r="K34" s="2">
        <v>0</v>
      </c>
      <c r="L34" s="3">
        <v>0</v>
      </c>
      <c r="N34" t="s">
        <v>185</v>
      </c>
      <c r="O34" t="s">
        <v>240</v>
      </c>
      <c r="P34" t="str">
        <f t="shared" si="0"/>
        <v>2025-01</v>
      </c>
      <c r="Q34">
        <f>IF(tblWO[[#This Row],[Status]]="Completed",1,
IF(tblWO[[#This Row],[Status]]="In Progress",2,
IF(tblWO[[#This Row],[Status]]="Planned",3,
IF(tblWO[[#This Row],[Status]]="Cancelled",4,99))))</f>
        <v>2</v>
      </c>
      <c r="R34">
        <f t="shared" si="2"/>
        <v>1</v>
      </c>
      <c r="S34" s="6" t="str">
        <f t="shared" si="1"/>
        <v>2025-01</v>
      </c>
    </row>
    <row r="35" spans="1:19">
      <c r="A35" t="s">
        <v>287</v>
      </c>
      <c r="B35" t="s">
        <v>14</v>
      </c>
      <c r="C35" t="s">
        <v>15</v>
      </c>
      <c r="D35" t="s">
        <v>169</v>
      </c>
      <c r="E35" t="s">
        <v>45</v>
      </c>
      <c r="F35" t="s">
        <v>138</v>
      </c>
      <c r="G35" t="s">
        <v>288</v>
      </c>
      <c r="H35" t="s">
        <v>289</v>
      </c>
      <c r="I35" t="s">
        <v>289</v>
      </c>
      <c r="J35" t="s">
        <v>290</v>
      </c>
      <c r="K35" s="2">
        <v>19.8</v>
      </c>
      <c r="L35" s="3">
        <v>276372.68</v>
      </c>
      <c r="M35" t="s">
        <v>291</v>
      </c>
      <c r="N35" t="s">
        <v>174</v>
      </c>
      <c r="O35" t="s">
        <v>229</v>
      </c>
      <c r="P35" t="str">
        <f t="shared" si="0"/>
        <v>2025-09</v>
      </c>
      <c r="Q35">
        <f>IF(tblWO[[#This Row],[Status]]="Completed",1,
IF(tblWO[[#This Row],[Status]]="In Progress",2,
IF(tblWO[[#This Row],[Status]]="Planned",3,
IF(tblWO[[#This Row],[Status]]="Cancelled",4,99))))</f>
        <v>1</v>
      </c>
      <c r="R35">
        <f t="shared" si="2"/>
        <v>4</v>
      </c>
      <c r="S35" s="6" t="str">
        <f t="shared" si="1"/>
        <v>2025-09</v>
      </c>
    </row>
    <row r="36" spans="1:19">
      <c r="A36" t="s">
        <v>292</v>
      </c>
      <c r="B36" t="s">
        <v>14</v>
      </c>
      <c r="C36" t="s">
        <v>15</v>
      </c>
      <c r="D36" t="s">
        <v>146</v>
      </c>
      <c r="E36" t="s">
        <v>45</v>
      </c>
      <c r="F36" t="s">
        <v>138</v>
      </c>
      <c r="G36" t="s">
        <v>293</v>
      </c>
      <c r="H36" t="s">
        <v>294</v>
      </c>
      <c r="I36" t="s">
        <v>294</v>
      </c>
      <c r="J36" t="s">
        <v>295</v>
      </c>
      <c r="K36" s="2">
        <v>12.1</v>
      </c>
      <c r="L36" s="3">
        <v>433490.07</v>
      </c>
      <c r="M36" t="s">
        <v>213</v>
      </c>
      <c r="N36" t="s">
        <v>239</v>
      </c>
      <c r="O36" t="s">
        <v>250</v>
      </c>
      <c r="P36" t="str">
        <f t="shared" si="0"/>
        <v>2025-12</v>
      </c>
      <c r="Q36">
        <f>IF(tblWO[[#This Row],[Status]]="Completed",1,
IF(tblWO[[#This Row],[Status]]="In Progress",2,
IF(tblWO[[#This Row],[Status]]="Planned",3,
IF(tblWO[[#This Row],[Status]]="Cancelled",4,99))))</f>
        <v>1</v>
      </c>
      <c r="R36">
        <f t="shared" si="2"/>
        <v>3</v>
      </c>
      <c r="S36" s="6" t="str">
        <f t="shared" si="1"/>
        <v>2025-12</v>
      </c>
    </row>
    <row r="37" spans="1:19">
      <c r="A37" t="s">
        <v>296</v>
      </c>
      <c r="B37" t="s">
        <v>14</v>
      </c>
      <c r="C37" t="s">
        <v>15</v>
      </c>
      <c r="D37" t="s">
        <v>158</v>
      </c>
      <c r="E37" t="s">
        <v>37</v>
      </c>
      <c r="F37" t="s">
        <v>138</v>
      </c>
      <c r="G37" t="s">
        <v>297</v>
      </c>
      <c r="H37" t="s">
        <v>298</v>
      </c>
      <c r="I37" t="s">
        <v>298</v>
      </c>
      <c r="J37" t="s">
        <v>299</v>
      </c>
      <c r="K37" s="2">
        <v>6.4</v>
      </c>
      <c r="L37" s="3">
        <v>218906.81</v>
      </c>
      <c r="M37" t="s">
        <v>142</v>
      </c>
      <c r="N37" t="s">
        <v>156</v>
      </c>
      <c r="O37" t="s">
        <v>240</v>
      </c>
      <c r="P37" t="str">
        <f t="shared" si="0"/>
        <v>2025-07</v>
      </c>
      <c r="Q37">
        <f>IF(tblWO[[#This Row],[Status]]="Completed",1,
IF(tblWO[[#This Row],[Status]]="In Progress",2,
IF(tblWO[[#This Row],[Status]]="Planned",3,
IF(tblWO[[#This Row],[Status]]="Cancelled",4,99))))</f>
        <v>1</v>
      </c>
      <c r="R37">
        <f t="shared" si="2"/>
        <v>1</v>
      </c>
      <c r="S37" s="6" t="str">
        <f t="shared" si="1"/>
        <v>2025-07</v>
      </c>
    </row>
    <row r="38" spans="1:19">
      <c r="A38" t="s">
        <v>300</v>
      </c>
      <c r="B38" t="s">
        <v>14</v>
      </c>
      <c r="C38" t="s">
        <v>15</v>
      </c>
      <c r="D38" t="s">
        <v>169</v>
      </c>
      <c r="E38" t="s">
        <v>45</v>
      </c>
      <c r="F38" t="s">
        <v>138</v>
      </c>
      <c r="G38" t="s">
        <v>301</v>
      </c>
      <c r="H38" t="s">
        <v>302</v>
      </c>
      <c r="I38" t="s">
        <v>302</v>
      </c>
      <c r="J38" t="s">
        <v>303</v>
      </c>
      <c r="K38" s="2">
        <v>21.4</v>
      </c>
      <c r="L38" s="3">
        <v>691054.07999999996</v>
      </c>
      <c r="M38" t="s">
        <v>234</v>
      </c>
      <c r="N38" t="s">
        <v>150</v>
      </c>
      <c r="O38" t="s">
        <v>229</v>
      </c>
      <c r="P38" t="str">
        <f t="shared" si="0"/>
        <v>2025-11</v>
      </c>
      <c r="Q38">
        <f>IF(tblWO[[#This Row],[Status]]="Completed",1,
IF(tblWO[[#This Row],[Status]]="In Progress",2,
IF(tblWO[[#This Row],[Status]]="Planned",3,
IF(tblWO[[#This Row],[Status]]="Cancelled",4,99))))</f>
        <v>1</v>
      </c>
      <c r="R38">
        <f t="shared" si="2"/>
        <v>4</v>
      </c>
      <c r="S38" s="6" t="str">
        <f t="shared" si="1"/>
        <v>2025-11</v>
      </c>
    </row>
    <row r="39" spans="1:19">
      <c r="A39" t="s">
        <v>304</v>
      </c>
      <c r="B39" t="s">
        <v>14</v>
      </c>
      <c r="C39" t="s">
        <v>15</v>
      </c>
      <c r="D39" t="s">
        <v>146</v>
      </c>
      <c r="E39" t="s">
        <v>32</v>
      </c>
      <c r="F39" t="s">
        <v>138</v>
      </c>
      <c r="G39" t="s">
        <v>305</v>
      </c>
      <c r="H39" t="s">
        <v>306</v>
      </c>
      <c r="I39" t="s">
        <v>306</v>
      </c>
      <c r="J39" t="s">
        <v>307</v>
      </c>
      <c r="K39" s="2">
        <v>16.2</v>
      </c>
      <c r="L39" s="3">
        <v>407395.74</v>
      </c>
      <c r="M39" t="s">
        <v>308</v>
      </c>
      <c r="N39" t="s">
        <v>156</v>
      </c>
      <c r="O39" t="s">
        <v>250</v>
      </c>
      <c r="P39" t="str">
        <f t="shared" si="0"/>
        <v>2025-04</v>
      </c>
      <c r="Q39">
        <f>IF(tblWO[[#This Row],[Status]]="Completed",1,
IF(tblWO[[#This Row],[Status]]="In Progress",2,
IF(tblWO[[#This Row],[Status]]="Planned",3,
IF(tblWO[[#This Row],[Status]]="Cancelled",4,99))))</f>
        <v>1</v>
      </c>
      <c r="R39">
        <f t="shared" si="2"/>
        <v>3</v>
      </c>
      <c r="S39" s="6" t="str">
        <f t="shared" si="1"/>
        <v>2025-04</v>
      </c>
    </row>
    <row r="40" spans="1:19">
      <c r="A40" t="s">
        <v>309</v>
      </c>
      <c r="B40" t="s">
        <v>14</v>
      </c>
      <c r="C40" t="s">
        <v>15</v>
      </c>
      <c r="D40" t="s">
        <v>158</v>
      </c>
      <c r="E40" t="s">
        <v>37</v>
      </c>
      <c r="F40" t="s">
        <v>138</v>
      </c>
      <c r="G40" t="s">
        <v>310</v>
      </c>
      <c r="H40" t="s">
        <v>311</v>
      </c>
      <c r="I40" t="s">
        <v>311</v>
      </c>
      <c r="J40" t="s">
        <v>312</v>
      </c>
      <c r="K40" s="2">
        <v>6</v>
      </c>
      <c r="L40" s="3">
        <v>86892.84</v>
      </c>
      <c r="M40" t="s">
        <v>142</v>
      </c>
      <c r="N40" t="s">
        <v>162</v>
      </c>
      <c r="O40" t="s">
        <v>240</v>
      </c>
      <c r="P40" t="str">
        <f t="shared" si="0"/>
        <v>2025-11</v>
      </c>
      <c r="Q40">
        <f>IF(tblWO[[#This Row],[Status]]="Completed",1,
IF(tblWO[[#This Row],[Status]]="In Progress",2,
IF(tblWO[[#This Row],[Status]]="Planned",3,
IF(tblWO[[#This Row],[Status]]="Cancelled",4,99))))</f>
        <v>1</v>
      </c>
      <c r="R40">
        <f t="shared" si="2"/>
        <v>1</v>
      </c>
      <c r="S40" s="6" t="str">
        <f t="shared" si="1"/>
        <v>2025-11</v>
      </c>
    </row>
    <row r="41" spans="1:19">
      <c r="A41" t="s">
        <v>313</v>
      </c>
      <c r="B41" t="s">
        <v>14</v>
      </c>
      <c r="C41" t="s">
        <v>15</v>
      </c>
      <c r="D41" t="s">
        <v>137</v>
      </c>
      <c r="E41" t="s">
        <v>32</v>
      </c>
      <c r="F41" t="s">
        <v>138</v>
      </c>
      <c r="G41" t="s">
        <v>314</v>
      </c>
      <c r="H41" t="s">
        <v>315</v>
      </c>
      <c r="I41" t="s">
        <v>315</v>
      </c>
      <c r="J41" t="s">
        <v>316</v>
      </c>
      <c r="K41" s="2">
        <v>3.1</v>
      </c>
      <c r="L41" s="3">
        <v>57163.99</v>
      </c>
      <c r="M41" t="s">
        <v>142</v>
      </c>
      <c r="N41" t="s">
        <v>150</v>
      </c>
      <c r="O41" t="s">
        <v>255</v>
      </c>
      <c r="P41" t="str">
        <f t="shared" si="0"/>
        <v>2025-02</v>
      </c>
      <c r="Q41">
        <f>IF(tblWO[[#This Row],[Status]]="Completed",1,
IF(tblWO[[#This Row],[Status]]="In Progress",2,
IF(tblWO[[#This Row],[Status]]="Planned",3,
IF(tblWO[[#This Row],[Status]]="Cancelled",4,99))))</f>
        <v>1</v>
      </c>
      <c r="R41">
        <f t="shared" si="2"/>
        <v>2</v>
      </c>
      <c r="S41" s="6" t="str">
        <f t="shared" si="1"/>
        <v>2025-02</v>
      </c>
    </row>
    <row r="42" spans="1:19">
      <c r="A42" t="s">
        <v>317</v>
      </c>
      <c r="B42" t="s">
        <v>14</v>
      </c>
      <c r="C42" t="s">
        <v>15</v>
      </c>
      <c r="D42" t="s">
        <v>137</v>
      </c>
      <c r="E42" t="s">
        <v>45</v>
      </c>
      <c r="F42" t="s">
        <v>138</v>
      </c>
      <c r="G42" t="s">
        <v>318</v>
      </c>
      <c r="H42" t="s">
        <v>319</v>
      </c>
      <c r="I42" t="s">
        <v>319</v>
      </c>
      <c r="J42" t="s">
        <v>320</v>
      </c>
      <c r="K42" s="2">
        <v>4</v>
      </c>
      <c r="L42" s="3">
        <v>67636.19</v>
      </c>
      <c r="M42" t="s">
        <v>142</v>
      </c>
      <c r="N42" t="s">
        <v>156</v>
      </c>
      <c r="O42" t="s">
        <v>255</v>
      </c>
      <c r="P42" t="str">
        <f t="shared" si="0"/>
        <v>2025-02</v>
      </c>
      <c r="Q42">
        <f>IF(tblWO[[#This Row],[Status]]="Completed",1,
IF(tblWO[[#This Row],[Status]]="In Progress",2,
IF(tblWO[[#This Row],[Status]]="Planned",3,
IF(tblWO[[#This Row],[Status]]="Cancelled",4,99))))</f>
        <v>1</v>
      </c>
      <c r="R42">
        <f t="shared" si="2"/>
        <v>2</v>
      </c>
      <c r="S42" s="6" t="str">
        <f t="shared" si="1"/>
        <v>2025-02</v>
      </c>
    </row>
    <row r="43" spans="1:19">
      <c r="A43" t="s">
        <v>321</v>
      </c>
      <c r="B43" t="s">
        <v>14</v>
      </c>
      <c r="C43" t="s">
        <v>15</v>
      </c>
      <c r="D43" t="s">
        <v>146</v>
      </c>
      <c r="E43" t="s">
        <v>45</v>
      </c>
      <c r="F43" t="s">
        <v>147</v>
      </c>
      <c r="G43" t="s">
        <v>322</v>
      </c>
      <c r="H43" t="s">
        <v>323</v>
      </c>
      <c r="K43" s="2">
        <v>0</v>
      </c>
      <c r="L43" s="3">
        <v>0</v>
      </c>
      <c r="N43" t="s">
        <v>143</v>
      </c>
      <c r="O43" t="s">
        <v>250</v>
      </c>
      <c r="P43" t="str">
        <f t="shared" si="0"/>
        <v>2025-09</v>
      </c>
      <c r="Q43">
        <f>IF(tblWO[[#This Row],[Status]]="Completed",1,
IF(tblWO[[#This Row],[Status]]="In Progress",2,
IF(tblWO[[#This Row],[Status]]="Planned",3,
IF(tblWO[[#This Row],[Status]]="Cancelled",4,99))))</f>
        <v>2</v>
      </c>
      <c r="R43">
        <f t="shared" si="2"/>
        <v>3</v>
      </c>
      <c r="S43" s="6" t="str">
        <f t="shared" si="1"/>
        <v>2025-09</v>
      </c>
    </row>
    <row r="44" spans="1:19">
      <c r="A44" t="s">
        <v>324</v>
      </c>
      <c r="B44" t="s">
        <v>14</v>
      </c>
      <c r="C44" t="s">
        <v>15</v>
      </c>
      <c r="D44" t="s">
        <v>169</v>
      </c>
      <c r="E44" t="s">
        <v>45</v>
      </c>
      <c r="F44" t="s">
        <v>138</v>
      </c>
      <c r="G44" t="s">
        <v>325</v>
      </c>
      <c r="H44" t="s">
        <v>326</v>
      </c>
      <c r="I44" t="s">
        <v>326</v>
      </c>
      <c r="J44" t="s">
        <v>327</v>
      </c>
      <c r="K44" s="2">
        <v>38.6</v>
      </c>
      <c r="L44" s="3">
        <v>512779.89</v>
      </c>
      <c r="M44" t="s">
        <v>328</v>
      </c>
      <c r="N44" t="s">
        <v>150</v>
      </c>
      <c r="O44" t="s">
        <v>229</v>
      </c>
      <c r="P44" t="str">
        <f t="shared" si="0"/>
        <v>2025-08</v>
      </c>
      <c r="Q44">
        <f>IF(tblWO[[#This Row],[Status]]="Completed",1,
IF(tblWO[[#This Row],[Status]]="In Progress",2,
IF(tblWO[[#This Row],[Status]]="Planned",3,
IF(tblWO[[#This Row],[Status]]="Cancelled",4,99))))</f>
        <v>1</v>
      </c>
      <c r="R44">
        <f t="shared" si="2"/>
        <v>4</v>
      </c>
      <c r="S44" s="6" t="str">
        <f t="shared" si="1"/>
        <v>2025-08</v>
      </c>
    </row>
    <row r="45" spans="1:19">
      <c r="A45" t="s">
        <v>329</v>
      </c>
      <c r="B45" t="s">
        <v>19</v>
      </c>
      <c r="C45" t="s">
        <v>20</v>
      </c>
      <c r="D45" t="s">
        <v>158</v>
      </c>
      <c r="E45" t="s">
        <v>37</v>
      </c>
      <c r="F45" t="s">
        <v>138</v>
      </c>
      <c r="G45" t="s">
        <v>330</v>
      </c>
      <c r="H45" t="s">
        <v>331</v>
      </c>
      <c r="I45" t="s">
        <v>331</v>
      </c>
      <c r="J45" t="s">
        <v>332</v>
      </c>
      <c r="K45" s="2">
        <v>7.4</v>
      </c>
      <c r="L45" s="3">
        <v>84593.52</v>
      </c>
      <c r="M45" t="s">
        <v>142</v>
      </c>
      <c r="N45" t="s">
        <v>150</v>
      </c>
      <c r="O45" t="s">
        <v>333</v>
      </c>
      <c r="P45" t="str">
        <f t="shared" si="0"/>
        <v>2025-12</v>
      </c>
      <c r="Q45">
        <f>IF(tblWO[[#This Row],[Status]]="Completed",1,
IF(tblWO[[#This Row],[Status]]="In Progress",2,
IF(tblWO[[#This Row],[Status]]="Planned",3,
IF(tblWO[[#This Row],[Status]]="Cancelled",4,99))))</f>
        <v>1</v>
      </c>
      <c r="R45">
        <f t="shared" si="2"/>
        <v>1</v>
      </c>
      <c r="S45" s="6" t="str">
        <f t="shared" si="1"/>
        <v>2025-12</v>
      </c>
    </row>
    <row r="46" spans="1:19">
      <c r="A46" t="s">
        <v>334</v>
      </c>
      <c r="B46" t="s">
        <v>19</v>
      </c>
      <c r="C46" t="s">
        <v>20</v>
      </c>
      <c r="D46" t="s">
        <v>158</v>
      </c>
      <c r="E46" t="s">
        <v>45</v>
      </c>
      <c r="F46" t="s">
        <v>138</v>
      </c>
      <c r="G46" t="s">
        <v>335</v>
      </c>
      <c r="H46" t="s">
        <v>336</v>
      </c>
      <c r="I46" t="s">
        <v>336</v>
      </c>
      <c r="J46" t="s">
        <v>337</v>
      </c>
      <c r="K46" s="2">
        <v>7.4</v>
      </c>
      <c r="L46" s="3">
        <v>153943.56</v>
      </c>
      <c r="M46" t="s">
        <v>142</v>
      </c>
      <c r="N46" t="s">
        <v>150</v>
      </c>
      <c r="O46" t="s">
        <v>333</v>
      </c>
      <c r="P46" t="str">
        <f t="shared" si="0"/>
        <v>2025-03</v>
      </c>
      <c r="Q46">
        <f>IF(tblWO[[#This Row],[Status]]="Completed",1,
IF(tblWO[[#This Row],[Status]]="In Progress",2,
IF(tblWO[[#This Row],[Status]]="Planned",3,
IF(tblWO[[#This Row],[Status]]="Cancelled",4,99))))</f>
        <v>1</v>
      </c>
      <c r="R46">
        <f t="shared" si="2"/>
        <v>1</v>
      </c>
      <c r="S46" s="6" t="str">
        <f t="shared" si="1"/>
        <v>2025-03</v>
      </c>
    </row>
    <row r="47" spans="1:19">
      <c r="A47" t="s">
        <v>338</v>
      </c>
      <c r="B47" t="s">
        <v>19</v>
      </c>
      <c r="C47" t="s">
        <v>20</v>
      </c>
      <c r="D47" t="s">
        <v>169</v>
      </c>
      <c r="E47" t="s">
        <v>32</v>
      </c>
      <c r="F47" t="s">
        <v>138</v>
      </c>
      <c r="G47" t="s">
        <v>339</v>
      </c>
      <c r="H47" t="s">
        <v>340</v>
      </c>
      <c r="I47" t="s">
        <v>340</v>
      </c>
      <c r="J47" t="s">
        <v>341</v>
      </c>
      <c r="K47" s="2">
        <v>31</v>
      </c>
      <c r="L47" s="3">
        <v>486187.84</v>
      </c>
      <c r="M47" t="s">
        <v>213</v>
      </c>
      <c r="N47" t="s">
        <v>342</v>
      </c>
      <c r="O47" t="s">
        <v>343</v>
      </c>
      <c r="P47" t="str">
        <f t="shared" si="0"/>
        <v>2025-10</v>
      </c>
      <c r="Q47">
        <f>IF(tblWO[[#This Row],[Status]]="Completed",1,
IF(tblWO[[#This Row],[Status]]="In Progress",2,
IF(tblWO[[#This Row],[Status]]="Planned",3,
IF(tblWO[[#This Row],[Status]]="Cancelled",4,99))))</f>
        <v>1</v>
      </c>
      <c r="R47">
        <f t="shared" si="2"/>
        <v>4</v>
      </c>
      <c r="S47" s="6" t="str">
        <f t="shared" si="1"/>
        <v>2025-10</v>
      </c>
    </row>
    <row r="48" spans="1:19">
      <c r="A48" t="s">
        <v>344</v>
      </c>
      <c r="B48" t="s">
        <v>19</v>
      </c>
      <c r="C48" t="s">
        <v>20</v>
      </c>
      <c r="D48" t="s">
        <v>158</v>
      </c>
      <c r="E48" t="s">
        <v>45</v>
      </c>
      <c r="F48" t="s">
        <v>202</v>
      </c>
      <c r="G48" t="s">
        <v>194</v>
      </c>
      <c r="H48" t="s">
        <v>195</v>
      </c>
      <c r="K48" s="2">
        <v>0</v>
      </c>
      <c r="L48" s="3">
        <v>0</v>
      </c>
      <c r="N48" t="s">
        <v>150</v>
      </c>
      <c r="O48" t="s">
        <v>333</v>
      </c>
      <c r="P48" t="str">
        <f t="shared" si="0"/>
        <v>2025-07</v>
      </c>
      <c r="Q48">
        <f>IF(tblWO[[#This Row],[Status]]="Completed",1,
IF(tblWO[[#This Row],[Status]]="In Progress",2,
IF(tblWO[[#This Row],[Status]]="Planned",3,
IF(tblWO[[#This Row],[Status]]="Cancelled",4,99))))</f>
        <v>3</v>
      </c>
      <c r="R48">
        <f t="shared" si="2"/>
        <v>1</v>
      </c>
      <c r="S48" s="6" t="str">
        <f t="shared" si="1"/>
        <v>2025-07</v>
      </c>
    </row>
    <row r="49" spans="1:19">
      <c r="A49" t="s">
        <v>345</v>
      </c>
      <c r="B49" t="s">
        <v>19</v>
      </c>
      <c r="C49" t="s">
        <v>20</v>
      </c>
      <c r="D49" t="s">
        <v>158</v>
      </c>
      <c r="E49" t="s">
        <v>37</v>
      </c>
      <c r="F49" t="s">
        <v>138</v>
      </c>
      <c r="G49" t="s">
        <v>231</v>
      </c>
      <c r="H49" t="s">
        <v>232</v>
      </c>
      <c r="I49" t="s">
        <v>232</v>
      </c>
      <c r="J49" t="s">
        <v>346</v>
      </c>
      <c r="K49" s="2">
        <v>8.8000000000000007</v>
      </c>
      <c r="L49" s="3">
        <v>151079.17000000001</v>
      </c>
      <c r="M49" t="s">
        <v>142</v>
      </c>
      <c r="N49" t="s">
        <v>143</v>
      </c>
      <c r="O49" t="s">
        <v>333</v>
      </c>
      <c r="P49" t="str">
        <f t="shared" si="0"/>
        <v>2025-05</v>
      </c>
      <c r="Q49">
        <f>IF(tblWO[[#This Row],[Status]]="Completed",1,
IF(tblWO[[#This Row],[Status]]="In Progress",2,
IF(tblWO[[#This Row],[Status]]="Planned",3,
IF(tblWO[[#This Row],[Status]]="Cancelled",4,99))))</f>
        <v>1</v>
      </c>
      <c r="R49">
        <f t="shared" si="2"/>
        <v>1</v>
      </c>
      <c r="S49" s="6" t="str">
        <f t="shared" si="1"/>
        <v>2025-05</v>
      </c>
    </row>
    <row r="50" spans="1:19">
      <c r="A50" t="s">
        <v>347</v>
      </c>
      <c r="B50" t="s">
        <v>19</v>
      </c>
      <c r="C50" t="s">
        <v>20</v>
      </c>
      <c r="D50" t="s">
        <v>169</v>
      </c>
      <c r="E50" t="s">
        <v>45</v>
      </c>
      <c r="F50" t="s">
        <v>147</v>
      </c>
      <c r="G50" t="s">
        <v>348</v>
      </c>
      <c r="H50" t="s">
        <v>349</v>
      </c>
      <c r="K50" s="2">
        <v>0</v>
      </c>
      <c r="L50" s="3">
        <v>0</v>
      </c>
      <c r="N50" t="s">
        <v>162</v>
      </c>
      <c r="O50" t="s">
        <v>343</v>
      </c>
      <c r="P50" t="str">
        <f t="shared" si="0"/>
        <v>2025-11</v>
      </c>
      <c r="Q50">
        <f>IF(tblWO[[#This Row],[Status]]="Completed",1,
IF(tblWO[[#This Row],[Status]]="In Progress",2,
IF(tblWO[[#This Row],[Status]]="Planned",3,
IF(tblWO[[#This Row],[Status]]="Cancelled",4,99))))</f>
        <v>2</v>
      </c>
      <c r="R50">
        <f t="shared" si="2"/>
        <v>4</v>
      </c>
      <c r="S50" s="6" t="str">
        <f t="shared" si="1"/>
        <v>2025-11</v>
      </c>
    </row>
    <row r="51" spans="1:19">
      <c r="A51" t="s">
        <v>350</v>
      </c>
      <c r="B51" t="s">
        <v>19</v>
      </c>
      <c r="C51" t="s">
        <v>20</v>
      </c>
      <c r="D51" t="s">
        <v>158</v>
      </c>
      <c r="E51" t="s">
        <v>10</v>
      </c>
      <c r="F51" t="s">
        <v>138</v>
      </c>
      <c r="G51" t="s">
        <v>351</v>
      </c>
      <c r="H51" t="s">
        <v>352</v>
      </c>
      <c r="I51" t="s">
        <v>352</v>
      </c>
      <c r="J51" t="s">
        <v>353</v>
      </c>
      <c r="K51" s="2">
        <v>5.8</v>
      </c>
      <c r="L51" s="3">
        <v>102915.07</v>
      </c>
      <c r="M51" t="s">
        <v>142</v>
      </c>
      <c r="N51" t="s">
        <v>342</v>
      </c>
      <c r="O51" t="s">
        <v>333</v>
      </c>
      <c r="P51" t="str">
        <f t="shared" si="0"/>
        <v>2025-07</v>
      </c>
      <c r="Q51">
        <f>IF(tblWO[[#This Row],[Status]]="Completed",1,
IF(tblWO[[#This Row],[Status]]="In Progress",2,
IF(tblWO[[#This Row],[Status]]="Planned",3,
IF(tblWO[[#This Row],[Status]]="Cancelled",4,99))))</f>
        <v>1</v>
      </c>
      <c r="R51">
        <f t="shared" si="2"/>
        <v>1</v>
      </c>
      <c r="S51" s="6" t="str">
        <f t="shared" si="1"/>
        <v>2025-07</v>
      </c>
    </row>
    <row r="52" spans="1:19">
      <c r="A52" t="s">
        <v>354</v>
      </c>
      <c r="B52" t="s">
        <v>19</v>
      </c>
      <c r="C52" t="s">
        <v>20</v>
      </c>
      <c r="D52" t="s">
        <v>158</v>
      </c>
      <c r="E52" t="s">
        <v>45</v>
      </c>
      <c r="F52" t="s">
        <v>202</v>
      </c>
      <c r="G52" t="s">
        <v>355</v>
      </c>
      <c r="H52" t="s">
        <v>356</v>
      </c>
      <c r="K52" s="2">
        <v>0</v>
      </c>
      <c r="L52" s="3">
        <v>0</v>
      </c>
      <c r="N52" t="s">
        <v>185</v>
      </c>
      <c r="O52" t="s">
        <v>333</v>
      </c>
      <c r="P52" t="str">
        <f t="shared" si="0"/>
        <v>2025-07</v>
      </c>
      <c r="Q52">
        <f>IF(tblWO[[#This Row],[Status]]="Completed",1,
IF(tblWO[[#This Row],[Status]]="In Progress",2,
IF(tblWO[[#This Row],[Status]]="Planned",3,
IF(tblWO[[#This Row],[Status]]="Cancelled",4,99))))</f>
        <v>3</v>
      </c>
      <c r="R52">
        <f t="shared" si="2"/>
        <v>1</v>
      </c>
      <c r="S52" s="6" t="str">
        <f t="shared" si="1"/>
        <v>2025-07</v>
      </c>
    </row>
    <row r="53" spans="1:19">
      <c r="A53" t="s">
        <v>357</v>
      </c>
      <c r="B53" t="s">
        <v>19</v>
      </c>
      <c r="C53" t="s">
        <v>20</v>
      </c>
      <c r="D53" t="s">
        <v>158</v>
      </c>
      <c r="E53" t="s">
        <v>37</v>
      </c>
      <c r="F53" t="s">
        <v>202</v>
      </c>
      <c r="G53" t="s">
        <v>358</v>
      </c>
      <c r="H53" t="s">
        <v>359</v>
      </c>
      <c r="K53" s="2">
        <v>0</v>
      </c>
      <c r="L53" s="3">
        <v>0</v>
      </c>
      <c r="N53" t="s">
        <v>185</v>
      </c>
      <c r="O53" t="s">
        <v>333</v>
      </c>
      <c r="P53" t="str">
        <f t="shared" si="0"/>
        <v>2025-09</v>
      </c>
      <c r="Q53">
        <f>IF(tblWO[[#This Row],[Status]]="Completed",1,
IF(tblWO[[#This Row],[Status]]="In Progress",2,
IF(tblWO[[#This Row],[Status]]="Planned",3,
IF(tblWO[[#This Row],[Status]]="Cancelled",4,99))))</f>
        <v>3</v>
      </c>
      <c r="R53">
        <f t="shared" si="2"/>
        <v>1</v>
      </c>
      <c r="S53" s="6" t="str">
        <f t="shared" si="1"/>
        <v>2025-09</v>
      </c>
    </row>
    <row r="54" spans="1:19">
      <c r="A54" t="s">
        <v>360</v>
      </c>
      <c r="B54" t="s">
        <v>19</v>
      </c>
      <c r="C54" t="s">
        <v>20</v>
      </c>
      <c r="D54" t="s">
        <v>169</v>
      </c>
      <c r="E54" t="s">
        <v>37</v>
      </c>
      <c r="F54" t="s">
        <v>202</v>
      </c>
      <c r="G54" t="s">
        <v>361</v>
      </c>
      <c r="H54" t="s">
        <v>362</v>
      </c>
      <c r="K54" s="2">
        <v>0</v>
      </c>
      <c r="L54" s="3">
        <v>0</v>
      </c>
      <c r="N54" t="s">
        <v>162</v>
      </c>
      <c r="O54" t="s">
        <v>343</v>
      </c>
      <c r="P54" t="str">
        <f t="shared" si="0"/>
        <v>2025-01</v>
      </c>
      <c r="Q54">
        <f>IF(tblWO[[#This Row],[Status]]="Completed",1,
IF(tblWO[[#This Row],[Status]]="In Progress",2,
IF(tblWO[[#This Row],[Status]]="Planned",3,
IF(tblWO[[#This Row],[Status]]="Cancelled",4,99))))</f>
        <v>3</v>
      </c>
      <c r="R54">
        <f t="shared" si="2"/>
        <v>4</v>
      </c>
      <c r="S54" s="6" t="str">
        <f t="shared" si="1"/>
        <v>2025-01</v>
      </c>
    </row>
    <row r="55" spans="1:19">
      <c r="A55" t="s">
        <v>363</v>
      </c>
      <c r="B55" t="s">
        <v>19</v>
      </c>
      <c r="C55" t="s">
        <v>20</v>
      </c>
      <c r="D55" t="s">
        <v>146</v>
      </c>
      <c r="E55" t="s">
        <v>32</v>
      </c>
      <c r="F55" t="s">
        <v>138</v>
      </c>
      <c r="G55" t="s">
        <v>364</v>
      </c>
      <c r="H55" t="s">
        <v>365</v>
      </c>
      <c r="I55" t="s">
        <v>365</v>
      </c>
      <c r="J55" t="s">
        <v>366</v>
      </c>
      <c r="K55" s="2">
        <v>13.3</v>
      </c>
      <c r="L55" s="3">
        <v>202497.48</v>
      </c>
      <c r="M55" t="s">
        <v>308</v>
      </c>
      <c r="N55" t="s">
        <v>342</v>
      </c>
      <c r="O55" t="s">
        <v>367</v>
      </c>
      <c r="P55" t="str">
        <f t="shared" si="0"/>
        <v>2025-02</v>
      </c>
      <c r="Q55">
        <f>IF(tblWO[[#This Row],[Status]]="Completed",1,
IF(tblWO[[#This Row],[Status]]="In Progress",2,
IF(tblWO[[#This Row],[Status]]="Planned",3,
IF(tblWO[[#This Row],[Status]]="Cancelled",4,99))))</f>
        <v>1</v>
      </c>
      <c r="R55">
        <f t="shared" si="2"/>
        <v>3</v>
      </c>
      <c r="S55" s="6" t="str">
        <f t="shared" si="1"/>
        <v>2025-02</v>
      </c>
    </row>
    <row r="56" spans="1:19">
      <c r="A56" t="s">
        <v>368</v>
      </c>
      <c r="B56" t="s">
        <v>19</v>
      </c>
      <c r="C56" t="s">
        <v>20</v>
      </c>
      <c r="D56" t="s">
        <v>158</v>
      </c>
      <c r="E56" t="s">
        <v>45</v>
      </c>
      <c r="F56" t="s">
        <v>138</v>
      </c>
      <c r="G56" t="s">
        <v>369</v>
      </c>
      <c r="H56" t="s">
        <v>370</v>
      </c>
      <c r="I56" t="s">
        <v>370</v>
      </c>
      <c r="J56" t="s">
        <v>371</v>
      </c>
      <c r="K56" s="2">
        <v>3.6</v>
      </c>
      <c r="L56" s="3">
        <v>127759.73</v>
      </c>
      <c r="M56" t="s">
        <v>142</v>
      </c>
      <c r="N56" t="s">
        <v>162</v>
      </c>
      <c r="O56" t="s">
        <v>333</v>
      </c>
      <c r="P56" t="str">
        <f t="shared" si="0"/>
        <v>2025-10</v>
      </c>
      <c r="Q56">
        <f>IF(tblWO[[#This Row],[Status]]="Completed",1,
IF(tblWO[[#This Row],[Status]]="In Progress",2,
IF(tblWO[[#This Row],[Status]]="Planned",3,
IF(tblWO[[#This Row],[Status]]="Cancelled",4,99))))</f>
        <v>1</v>
      </c>
      <c r="R56">
        <f t="shared" si="2"/>
        <v>1</v>
      </c>
      <c r="S56" s="6" t="str">
        <f t="shared" si="1"/>
        <v>2025-10</v>
      </c>
    </row>
    <row r="57" spans="1:19">
      <c r="A57" t="s">
        <v>372</v>
      </c>
      <c r="B57" t="s">
        <v>19</v>
      </c>
      <c r="C57" t="s">
        <v>20</v>
      </c>
      <c r="D57" t="s">
        <v>137</v>
      </c>
      <c r="E57" t="s">
        <v>37</v>
      </c>
      <c r="F57" t="s">
        <v>202</v>
      </c>
      <c r="G57" t="s">
        <v>373</v>
      </c>
      <c r="H57" t="s">
        <v>374</v>
      </c>
      <c r="K57" s="2">
        <v>0</v>
      </c>
      <c r="L57" s="3">
        <v>0</v>
      </c>
      <c r="N57" t="s">
        <v>150</v>
      </c>
      <c r="O57" t="s">
        <v>375</v>
      </c>
      <c r="P57" t="str">
        <f t="shared" si="0"/>
        <v>2025-10</v>
      </c>
      <c r="Q57">
        <f>IF(tblWO[[#This Row],[Status]]="Completed",1,
IF(tblWO[[#This Row],[Status]]="In Progress",2,
IF(tblWO[[#This Row],[Status]]="Planned",3,
IF(tblWO[[#This Row],[Status]]="Cancelled",4,99))))</f>
        <v>3</v>
      </c>
      <c r="R57">
        <f t="shared" si="2"/>
        <v>2</v>
      </c>
      <c r="S57" s="6" t="str">
        <f t="shared" si="1"/>
        <v>2025-10</v>
      </c>
    </row>
    <row r="58" spans="1:19">
      <c r="A58" t="s">
        <v>376</v>
      </c>
      <c r="B58" t="s">
        <v>19</v>
      </c>
      <c r="C58" t="s">
        <v>20</v>
      </c>
      <c r="D58" t="s">
        <v>158</v>
      </c>
      <c r="E58" t="s">
        <v>45</v>
      </c>
      <c r="F58" t="s">
        <v>138</v>
      </c>
      <c r="G58" t="s">
        <v>153</v>
      </c>
      <c r="H58" t="s">
        <v>154</v>
      </c>
      <c r="I58" t="s">
        <v>154</v>
      </c>
      <c r="J58" t="s">
        <v>377</v>
      </c>
      <c r="K58" s="2">
        <v>5</v>
      </c>
      <c r="L58" s="3">
        <v>221064.76</v>
      </c>
      <c r="M58" t="s">
        <v>142</v>
      </c>
      <c r="N58" t="s">
        <v>185</v>
      </c>
      <c r="O58" t="s">
        <v>333</v>
      </c>
      <c r="P58" t="str">
        <f t="shared" si="0"/>
        <v>2025-12</v>
      </c>
      <c r="Q58">
        <f>IF(tblWO[[#This Row],[Status]]="Completed",1,
IF(tblWO[[#This Row],[Status]]="In Progress",2,
IF(tblWO[[#This Row],[Status]]="Planned",3,
IF(tblWO[[#This Row],[Status]]="Cancelled",4,99))))</f>
        <v>1</v>
      </c>
      <c r="R58">
        <f t="shared" si="2"/>
        <v>1</v>
      </c>
      <c r="S58" s="6" t="str">
        <f t="shared" si="1"/>
        <v>2025-12</v>
      </c>
    </row>
    <row r="59" spans="1:19">
      <c r="A59" t="s">
        <v>378</v>
      </c>
      <c r="B59" t="s">
        <v>19</v>
      </c>
      <c r="C59" t="s">
        <v>20</v>
      </c>
      <c r="D59" t="s">
        <v>169</v>
      </c>
      <c r="E59" t="s">
        <v>37</v>
      </c>
      <c r="F59" t="s">
        <v>138</v>
      </c>
      <c r="G59" t="s">
        <v>379</v>
      </c>
      <c r="H59" t="s">
        <v>380</v>
      </c>
      <c r="I59" t="s">
        <v>380</v>
      </c>
      <c r="J59" t="s">
        <v>381</v>
      </c>
      <c r="K59" s="2">
        <v>28.2</v>
      </c>
      <c r="L59" s="3">
        <v>404738.7</v>
      </c>
      <c r="M59" t="s">
        <v>173</v>
      </c>
      <c r="N59" t="s">
        <v>174</v>
      </c>
      <c r="O59" t="s">
        <v>343</v>
      </c>
      <c r="P59" t="str">
        <f t="shared" si="0"/>
        <v>2025-01</v>
      </c>
      <c r="Q59">
        <f>IF(tblWO[[#This Row],[Status]]="Completed",1,
IF(tblWO[[#This Row],[Status]]="In Progress",2,
IF(tblWO[[#This Row],[Status]]="Planned",3,
IF(tblWO[[#This Row],[Status]]="Cancelled",4,99))))</f>
        <v>1</v>
      </c>
      <c r="R59">
        <f t="shared" si="2"/>
        <v>4</v>
      </c>
      <c r="S59" s="6" t="str">
        <f t="shared" si="1"/>
        <v>2025-01</v>
      </c>
    </row>
    <row r="60" spans="1:19">
      <c r="A60" t="s">
        <v>382</v>
      </c>
      <c r="B60" t="s">
        <v>19</v>
      </c>
      <c r="C60" t="s">
        <v>20</v>
      </c>
      <c r="D60" t="s">
        <v>169</v>
      </c>
      <c r="E60" t="s">
        <v>32</v>
      </c>
      <c r="F60" t="s">
        <v>138</v>
      </c>
      <c r="G60" t="s">
        <v>383</v>
      </c>
      <c r="H60" t="s">
        <v>384</v>
      </c>
      <c r="I60" t="s">
        <v>384</v>
      </c>
      <c r="J60" t="s">
        <v>385</v>
      </c>
      <c r="K60" s="2">
        <v>36.299999999999997</v>
      </c>
      <c r="L60" s="3">
        <v>461292.29</v>
      </c>
      <c r="M60" t="s">
        <v>184</v>
      </c>
      <c r="N60" t="s">
        <v>239</v>
      </c>
      <c r="O60" t="s">
        <v>343</v>
      </c>
      <c r="P60" t="str">
        <f t="shared" si="0"/>
        <v>2025-07</v>
      </c>
      <c r="Q60">
        <f>IF(tblWO[[#This Row],[Status]]="Completed",1,
IF(tblWO[[#This Row],[Status]]="In Progress",2,
IF(tblWO[[#This Row],[Status]]="Planned",3,
IF(tblWO[[#This Row],[Status]]="Cancelled",4,99))))</f>
        <v>1</v>
      </c>
      <c r="R60">
        <f t="shared" si="2"/>
        <v>4</v>
      </c>
      <c r="S60" s="6" t="str">
        <f t="shared" si="1"/>
        <v>2025-07</v>
      </c>
    </row>
    <row r="61" spans="1:19">
      <c r="A61" t="s">
        <v>386</v>
      </c>
      <c r="B61" t="s">
        <v>19</v>
      </c>
      <c r="C61" t="s">
        <v>20</v>
      </c>
      <c r="D61" t="s">
        <v>146</v>
      </c>
      <c r="E61" t="s">
        <v>45</v>
      </c>
      <c r="F61" t="s">
        <v>138</v>
      </c>
      <c r="G61" t="s">
        <v>387</v>
      </c>
      <c r="H61" t="s">
        <v>388</v>
      </c>
      <c r="I61" t="s">
        <v>388</v>
      </c>
      <c r="J61" t="s">
        <v>389</v>
      </c>
      <c r="K61" s="2">
        <v>10.4</v>
      </c>
      <c r="L61" s="3">
        <v>198198.07</v>
      </c>
      <c r="M61" t="s">
        <v>390</v>
      </c>
      <c r="N61" t="s">
        <v>185</v>
      </c>
      <c r="O61" t="s">
        <v>367</v>
      </c>
      <c r="P61" t="str">
        <f t="shared" si="0"/>
        <v>2025-08</v>
      </c>
      <c r="Q61">
        <f>IF(tblWO[[#This Row],[Status]]="Completed",1,
IF(tblWO[[#This Row],[Status]]="In Progress",2,
IF(tblWO[[#This Row],[Status]]="Planned",3,
IF(tblWO[[#This Row],[Status]]="Cancelled",4,99))))</f>
        <v>1</v>
      </c>
      <c r="R61">
        <f t="shared" si="2"/>
        <v>3</v>
      </c>
      <c r="S61" s="6" t="str">
        <f t="shared" si="1"/>
        <v>2025-08</v>
      </c>
    </row>
    <row r="62" spans="1:19">
      <c r="A62" t="s">
        <v>391</v>
      </c>
      <c r="B62" t="s">
        <v>19</v>
      </c>
      <c r="C62" t="s">
        <v>20</v>
      </c>
      <c r="D62" t="s">
        <v>158</v>
      </c>
      <c r="E62" t="s">
        <v>45</v>
      </c>
      <c r="F62" t="s">
        <v>138</v>
      </c>
      <c r="G62" t="s">
        <v>325</v>
      </c>
      <c r="H62" t="s">
        <v>326</v>
      </c>
      <c r="I62" t="s">
        <v>326</v>
      </c>
      <c r="J62" t="s">
        <v>392</v>
      </c>
      <c r="K62" s="2">
        <v>5.8</v>
      </c>
      <c r="L62" s="3">
        <v>57175</v>
      </c>
      <c r="M62" t="s">
        <v>142</v>
      </c>
      <c r="N62" t="s">
        <v>342</v>
      </c>
      <c r="O62" t="s">
        <v>333</v>
      </c>
      <c r="P62" t="str">
        <f t="shared" si="0"/>
        <v>2025-08</v>
      </c>
      <c r="Q62">
        <f>IF(tblWO[[#This Row],[Status]]="Completed",1,
IF(tblWO[[#This Row],[Status]]="In Progress",2,
IF(tblWO[[#This Row],[Status]]="Planned",3,
IF(tblWO[[#This Row],[Status]]="Cancelled",4,99))))</f>
        <v>1</v>
      </c>
      <c r="R62">
        <f t="shared" si="2"/>
        <v>1</v>
      </c>
      <c r="S62" s="6" t="str">
        <f t="shared" si="1"/>
        <v>2025-08</v>
      </c>
    </row>
    <row r="63" spans="1:19">
      <c r="A63" t="s">
        <v>393</v>
      </c>
      <c r="B63" t="s">
        <v>19</v>
      </c>
      <c r="C63" t="s">
        <v>20</v>
      </c>
      <c r="D63" t="s">
        <v>158</v>
      </c>
      <c r="E63" t="s">
        <v>37</v>
      </c>
      <c r="F63" t="s">
        <v>138</v>
      </c>
      <c r="G63" t="s">
        <v>394</v>
      </c>
      <c r="H63" t="s">
        <v>395</v>
      </c>
      <c r="I63" t="s">
        <v>395</v>
      </c>
      <c r="J63" t="s">
        <v>396</v>
      </c>
      <c r="K63" s="2">
        <v>8</v>
      </c>
      <c r="L63" s="3">
        <v>270026.84000000003</v>
      </c>
      <c r="M63" t="s">
        <v>142</v>
      </c>
      <c r="N63" t="s">
        <v>162</v>
      </c>
      <c r="O63" t="s">
        <v>333</v>
      </c>
      <c r="P63" t="str">
        <f t="shared" si="0"/>
        <v>2025-04</v>
      </c>
      <c r="Q63">
        <f>IF(tblWO[[#This Row],[Status]]="Completed",1,
IF(tblWO[[#This Row],[Status]]="In Progress",2,
IF(tblWO[[#This Row],[Status]]="Planned",3,
IF(tblWO[[#This Row],[Status]]="Cancelled",4,99))))</f>
        <v>1</v>
      </c>
      <c r="R63">
        <f t="shared" si="2"/>
        <v>1</v>
      </c>
      <c r="S63" s="6" t="str">
        <f t="shared" si="1"/>
        <v>2025-04</v>
      </c>
    </row>
    <row r="64" spans="1:19">
      <c r="A64" t="s">
        <v>397</v>
      </c>
      <c r="B64" t="s">
        <v>24</v>
      </c>
      <c r="C64" t="s">
        <v>25</v>
      </c>
      <c r="D64" t="s">
        <v>137</v>
      </c>
      <c r="E64" t="s">
        <v>45</v>
      </c>
      <c r="F64" t="s">
        <v>138</v>
      </c>
      <c r="G64" t="s">
        <v>398</v>
      </c>
      <c r="H64" t="s">
        <v>399</v>
      </c>
      <c r="I64" t="s">
        <v>399</v>
      </c>
      <c r="J64" t="s">
        <v>400</v>
      </c>
      <c r="K64" s="2">
        <v>1.7</v>
      </c>
      <c r="L64" s="3">
        <v>58087.45</v>
      </c>
      <c r="M64" t="s">
        <v>142</v>
      </c>
      <c r="N64" t="s">
        <v>156</v>
      </c>
      <c r="O64" t="s">
        <v>401</v>
      </c>
      <c r="P64" t="str">
        <f t="shared" si="0"/>
        <v>2025-02</v>
      </c>
      <c r="Q64">
        <f>IF(tblWO[[#This Row],[Status]]="Completed",1,
IF(tblWO[[#This Row],[Status]]="In Progress",2,
IF(tblWO[[#This Row],[Status]]="Planned",3,
IF(tblWO[[#This Row],[Status]]="Cancelled",4,99))))</f>
        <v>1</v>
      </c>
      <c r="R64">
        <f t="shared" si="2"/>
        <v>2</v>
      </c>
      <c r="S64" s="6" t="str">
        <f t="shared" si="1"/>
        <v>2025-02</v>
      </c>
    </row>
    <row r="65" spans="1:19">
      <c r="A65" t="s">
        <v>402</v>
      </c>
      <c r="B65" t="s">
        <v>24</v>
      </c>
      <c r="C65" t="s">
        <v>25</v>
      </c>
      <c r="D65" t="s">
        <v>158</v>
      </c>
      <c r="E65" t="s">
        <v>45</v>
      </c>
      <c r="F65" t="s">
        <v>138</v>
      </c>
      <c r="G65" t="s">
        <v>403</v>
      </c>
      <c r="H65" t="s">
        <v>404</v>
      </c>
      <c r="I65" t="s">
        <v>404</v>
      </c>
      <c r="J65" t="s">
        <v>405</v>
      </c>
      <c r="K65" s="2">
        <v>5.0999999999999996</v>
      </c>
      <c r="L65" s="3">
        <v>195388.9</v>
      </c>
      <c r="M65" t="s">
        <v>142</v>
      </c>
      <c r="N65" t="s">
        <v>156</v>
      </c>
      <c r="O65" t="s">
        <v>406</v>
      </c>
      <c r="P65" t="str">
        <f t="shared" si="0"/>
        <v>2024-12</v>
      </c>
      <c r="Q65">
        <f>IF(tblWO[[#This Row],[Status]]="Completed",1,
IF(tblWO[[#This Row],[Status]]="In Progress",2,
IF(tblWO[[#This Row],[Status]]="Planned",3,
IF(tblWO[[#This Row],[Status]]="Cancelled",4,99))))</f>
        <v>1</v>
      </c>
      <c r="R65">
        <f t="shared" si="2"/>
        <v>1</v>
      </c>
      <c r="S65" s="6" t="str">
        <f t="shared" si="1"/>
        <v>2024-12</v>
      </c>
    </row>
    <row r="66" spans="1:19">
      <c r="A66" t="s">
        <v>407</v>
      </c>
      <c r="B66" t="s">
        <v>24</v>
      </c>
      <c r="C66" t="s">
        <v>25</v>
      </c>
      <c r="D66" t="s">
        <v>146</v>
      </c>
      <c r="E66" t="s">
        <v>37</v>
      </c>
      <c r="F66" t="s">
        <v>138</v>
      </c>
      <c r="G66" t="s">
        <v>408</v>
      </c>
      <c r="H66" t="s">
        <v>409</v>
      </c>
      <c r="I66" t="s">
        <v>409</v>
      </c>
      <c r="J66" t="s">
        <v>410</v>
      </c>
      <c r="K66" s="2">
        <v>13.1</v>
      </c>
      <c r="L66" s="3">
        <v>222649.2</v>
      </c>
      <c r="M66" t="s">
        <v>249</v>
      </c>
      <c r="N66" t="s">
        <v>150</v>
      </c>
      <c r="O66" t="s">
        <v>411</v>
      </c>
      <c r="P66" t="str">
        <f t="shared" ref="P66:P129" si="3">TEXT(G66,"yyyy-mm")</f>
        <v>2025-07</v>
      </c>
      <c r="Q66">
        <f>IF(tblWO[[#This Row],[Status]]="Completed",1,
IF(tblWO[[#This Row],[Status]]="In Progress",2,
IF(tblWO[[#This Row],[Status]]="Planned",3,
IF(tblWO[[#This Row],[Status]]="Cancelled",4,99))))</f>
        <v>1</v>
      </c>
      <c r="R66">
        <f t="shared" ref="R66:R129" si="4">IF(D66="Preventive",1,
IF(D66="Inspection",2,
IF(D66="Corrective",3,
IF(D66="Breakdown",4,
IF(D66="Overhaul",5,99)))))</f>
        <v>3</v>
      </c>
      <c r="S66" s="6" t="str">
        <f t="shared" ref="S66:S129" si="5">TEXT(G66,"yyyy-mm")</f>
        <v>2025-07</v>
      </c>
    </row>
    <row r="67" spans="1:19">
      <c r="A67" t="s">
        <v>412</v>
      </c>
      <c r="B67" t="s">
        <v>24</v>
      </c>
      <c r="C67" t="s">
        <v>25</v>
      </c>
      <c r="D67" t="s">
        <v>158</v>
      </c>
      <c r="E67" t="s">
        <v>32</v>
      </c>
      <c r="F67" t="s">
        <v>138</v>
      </c>
      <c r="G67" t="s">
        <v>413</v>
      </c>
      <c r="H67" t="s">
        <v>414</v>
      </c>
      <c r="I67" t="s">
        <v>414</v>
      </c>
      <c r="J67" t="s">
        <v>415</v>
      </c>
      <c r="K67" s="2">
        <v>8.9</v>
      </c>
      <c r="L67" s="3">
        <v>97885.24</v>
      </c>
      <c r="M67" t="s">
        <v>142</v>
      </c>
      <c r="N67" t="s">
        <v>156</v>
      </c>
      <c r="O67" t="s">
        <v>406</v>
      </c>
      <c r="P67" t="str">
        <f t="shared" si="3"/>
        <v>2025-03</v>
      </c>
      <c r="Q67">
        <f>IF(tblWO[[#This Row],[Status]]="Completed",1,
IF(tblWO[[#This Row],[Status]]="In Progress",2,
IF(tblWO[[#This Row],[Status]]="Planned",3,
IF(tblWO[[#This Row],[Status]]="Cancelled",4,99))))</f>
        <v>1</v>
      </c>
      <c r="R67">
        <f t="shared" si="4"/>
        <v>1</v>
      </c>
      <c r="S67" s="6" t="str">
        <f t="shared" si="5"/>
        <v>2025-03</v>
      </c>
    </row>
    <row r="68" spans="1:19">
      <c r="A68" t="s">
        <v>416</v>
      </c>
      <c r="B68" t="s">
        <v>24</v>
      </c>
      <c r="C68" t="s">
        <v>25</v>
      </c>
      <c r="D68" t="s">
        <v>158</v>
      </c>
      <c r="E68" t="s">
        <v>37</v>
      </c>
      <c r="F68" t="s">
        <v>138</v>
      </c>
      <c r="G68" t="s">
        <v>417</v>
      </c>
      <c r="H68" t="s">
        <v>418</v>
      </c>
      <c r="I68" t="s">
        <v>418</v>
      </c>
      <c r="J68" t="s">
        <v>419</v>
      </c>
      <c r="K68" s="2">
        <v>3</v>
      </c>
      <c r="L68" s="3">
        <v>98529.39</v>
      </c>
      <c r="M68" t="s">
        <v>142</v>
      </c>
      <c r="N68" t="s">
        <v>150</v>
      </c>
      <c r="O68" t="s">
        <v>406</v>
      </c>
      <c r="P68" t="str">
        <f t="shared" si="3"/>
        <v>2025-10</v>
      </c>
      <c r="Q68">
        <f>IF(tblWO[[#This Row],[Status]]="Completed",1,
IF(tblWO[[#This Row],[Status]]="In Progress",2,
IF(tblWO[[#This Row],[Status]]="Planned",3,
IF(tblWO[[#This Row],[Status]]="Cancelled",4,99))))</f>
        <v>1</v>
      </c>
      <c r="R68">
        <f t="shared" si="4"/>
        <v>1</v>
      </c>
      <c r="S68" s="6" t="str">
        <f t="shared" si="5"/>
        <v>2025-10</v>
      </c>
    </row>
    <row r="69" spans="1:19">
      <c r="A69" t="s">
        <v>420</v>
      </c>
      <c r="B69" t="s">
        <v>24</v>
      </c>
      <c r="C69" t="s">
        <v>25</v>
      </c>
      <c r="D69" t="s">
        <v>158</v>
      </c>
      <c r="E69" t="s">
        <v>37</v>
      </c>
      <c r="F69" t="s">
        <v>138</v>
      </c>
      <c r="G69" t="s">
        <v>421</v>
      </c>
      <c r="H69" t="s">
        <v>422</v>
      </c>
      <c r="I69" t="s">
        <v>422</v>
      </c>
      <c r="J69" t="s">
        <v>423</v>
      </c>
      <c r="K69" s="2">
        <v>11.7</v>
      </c>
      <c r="L69" s="3">
        <v>188339.74</v>
      </c>
      <c r="M69" t="s">
        <v>142</v>
      </c>
      <c r="N69" t="s">
        <v>143</v>
      </c>
      <c r="O69" t="s">
        <v>406</v>
      </c>
      <c r="P69" t="str">
        <f t="shared" si="3"/>
        <v>2025-05</v>
      </c>
      <c r="Q69">
        <f>IF(tblWO[[#This Row],[Status]]="Completed",1,
IF(tblWO[[#This Row],[Status]]="In Progress",2,
IF(tblWO[[#This Row],[Status]]="Planned",3,
IF(tblWO[[#This Row],[Status]]="Cancelled",4,99))))</f>
        <v>1</v>
      </c>
      <c r="R69">
        <f t="shared" si="4"/>
        <v>1</v>
      </c>
      <c r="S69" s="6" t="str">
        <f t="shared" si="5"/>
        <v>2025-05</v>
      </c>
    </row>
    <row r="70" spans="1:19">
      <c r="A70" t="s">
        <v>424</v>
      </c>
      <c r="B70" t="s">
        <v>24</v>
      </c>
      <c r="C70" t="s">
        <v>25</v>
      </c>
      <c r="D70" t="s">
        <v>146</v>
      </c>
      <c r="E70" t="s">
        <v>45</v>
      </c>
      <c r="F70" t="s">
        <v>138</v>
      </c>
      <c r="G70" t="s">
        <v>425</v>
      </c>
      <c r="H70" t="s">
        <v>426</v>
      </c>
      <c r="I70" t="s">
        <v>426</v>
      </c>
      <c r="J70" t="s">
        <v>427</v>
      </c>
      <c r="K70" s="2">
        <v>12.8</v>
      </c>
      <c r="L70" s="3">
        <v>173745.47</v>
      </c>
      <c r="M70" t="s">
        <v>328</v>
      </c>
      <c r="N70" t="s">
        <v>162</v>
      </c>
      <c r="O70" t="s">
        <v>411</v>
      </c>
      <c r="P70" t="str">
        <f t="shared" si="3"/>
        <v>2025-02</v>
      </c>
      <c r="Q70">
        <f>IF(tblWO[[#This Row],[Status]]="Completed",1,
IF(tblWO[[#This Row],[Status]]="In Progress",2,
IF(tblWO[[#This Row],[Status]]="Planned",3,
IF(tblWO[[#This Row],[Status]]="Cancelled",4,99))))</f>
        <v>1</v>
      </c>
      <c r="R70">
        <f t="shared" si="4"/>
        <v>3</v>
      </c>
      <c r="S70" s="6" t="str">
        <f t="shared" si="5"/>
        <v>2025-02</v>
      </c>
    </row>
    <row r="71" spans="1:19">
      <c r="A71" t="s">
        <v>428</v>
      </c>
      <c r="B71" t="s">
        <v>24</v>
      </c>
      <c r="C71" t="s">
        <v>25</v>
      </c>
      <c r="D71" t="s">
        <v>158</v>
      </c>
      <c r="E71" t="s">
        <v>45</v>
      </c>
      <c r="F71" t="s">
        <v>138</v>
      </c>
      <c r="G71" t="s">
        <v>429</v>
      </c>
      <c r="H71" t="s">
        <v>430</v>
      </c>
      <c r="I71" t="s">
        <v>430</v>
      </c>
      <c r="J71" t="s">
        <v>431</v>
      </c>
      <c r="K71" s="2">
        <v>7.8</v>
      </c>
      <c r="L71" s="3">
        <v>221612.75</v>
      </c>
      <c r="M71" t="s">
        <v>142</v>
      </c>
      <c r="N71" t="s">
        <v>143</v>
      </c>
      <c r="O71" t="s">
        <v>406</v>
      </c>
      <c r="P71" t="str">
        <f t="shared" si="3"/>
        <v>2025-08</v>
      </c>
      <c r="Q71">
        <f>IF(tblWO[[#This Row],[Status]]="Completed",1,
IF(tblWO[[#This Row],[Status]]="In Progress",2,
IF(tblWO[[#This Row],[Status]]="Planned",3,
IF(tblWO[[#This Row],[Status]]="Cancelled",4,99))))</f>
        <v>1</v>
      </c>
      <c r="R71">
        <f t="shared" si="4"/>
        <v>1</v>
      </c>
      <c r="S71" s="6" t="str">
        <f t="shared" si="5"/>
        <v>2025-08</v>
      </c>
    </row>
    <row r="72" spans="1:19">
      <c r="A72" t="s">
        <v>432</v>
      </c>
      <c r="B72" t="s">
        <v>24</v>
      </c>
      <c r="C72" t="s">
        <v>25</v>
      </c>
      <c r="D72" t="s">
        <v>158</v>
      </c>
      <c r="E72" t="s">
        <v>37</v>
      </c>
      <c r="F72" t="s">
        <v>138</v>
      </c>
      <c r="G72" t="s">
        <v>433</v>
      </c>
      <c r="H72" t="s">
        <v>434</v>
      </c>
      <c r="I72" t="s">
        <v>434</v>
      </c>
      <c r="J72" t="s">
        <v>435</v>
      </c>
      <c r="K72" s="2">
        <v>7.6</v>
      </c>
      <c r="L72" s="3">
        <v>154043.51</v>
      </c>
      <c r="M72" t="s">
        <v>142</v>
      </c>
      <c r="N72" t="s">
        <v>150</v>
      </c>
      <c r="O72" t="s">
        <v>406</v>
      </c>
      <c r="P72" t="str">
        <f t="shared" si="3"/>
        <v>2025-10</v>
      </c>
      <c r="Q72">
        <f>IF(tblWO[[#This Row],[Status]]="Completed",1,
IF(tblWO[[#This Row],[Status]]="In Progress",2,
IF(tblWO[[#This Row],[Status]]="Planned",3,
IF(tblWO[[#This Row],[Status]]="Cancelled",4,99))))</f>
        <v>1</v>
      </c>
      <c r="R72">
        <f t="shared" si="4"/>
        <v>1</v>
      </c>
      <c r="S72" s="6" t="str">
        <f t="shared" si="5"/>
        <v>2025-10</v>
      </c>
    </row>
    <row r="73" spans="1:19">
      <c r="A73" t="s">
        <v>436</v>
      </c>
      <c r="B73" t="s">
        <v>24</v>
      </c>
      <c r="C73" t="s">
        <v>25</v>
      </c>
      <c r="D73" t="s">
        <v>169</v>
      </c>
      <c r="E73" t="s">
        <v>45</v>
      </c>
      <c r="F73" t="s">
        <v>138</v>
      </c>
      <c r="G73" t="s">
        <v>325</v>
      </c>
      <c r="H73" t="s">
        <v>326</v>
      </c>
      <c r="I73" t="s">
        <v>326</v>
      </c>
      <c r="J73" t="s">
        <v>437</v>
      </c>
      <c r="K73" s="2">
        <v>25.2</v>
      </c>
      <c r="L73" s="3">
        <v>541177.68000000005</v>
      </c>
      <c r="M73" t="s">
        <v>213</v>
      </c>
      <c r="N73" t="s">
        <v>162</v>
      </c>
      <c r="O73" t="s">
        <v>438</v>
      </c>
      <c r="P73" t="str">
        <f t="shared" si="3"/>
        <v>2025-08</v>
      </c>
      <c r="Q73">
        <f>IF(tblWO[[#This Row],[Status]]="Completed",1,
IF(tblWO[[#This Row],[Status]]="In Progress",2,
IF(tblWO[[#This Row],[Status]]="Planned",3,
IF(tblWO[[#This Row],[Status]]="Cancelled",4,99))))</f>
        <v>1</v>
      </c>
      <c r="R73">
        <f t="shared" si="4"/>
        <v>4</v>
      </c>
      <c r="S73" s="6" t="str">
        <f t="shared" si="5"/>
        <v>2025-08</v>
      </c>
    </row>
    <row r="74" spans="1:19">
      <c r="A74" t="s">
        <v>439</v>
      </c>
      <c r="B74" t="s">
        <v>24</v>
      </c>
      <c r="C74" t="s">
        <v>25</v>
      </c>
      <c r="D74" t="s">
        <v>146</v>
      </c>
      <c r="E74" t="s">
        <v>37</v>
      </c>
      <c r="F74" t="s">
        <v>138</v>
      </c>
      <c r="G74" t="s">
        <v>440</v>
      </c>
      <c r="H74" t="s">
        <v>441</v>
      </c>
      <c r="I74" t="s">
        <v>441</v>
      </c>
      <c r="J74" t="s">
        <v>442</v>
      </c>
      <c r="K74" s="2">
        <v>17.2</v>
      </c>
      <c r="L74" s="3">
        <v>162822.84</v>
      </c>
      <c r="M74" t="s">
        <v>142</v>
      </c>
      <c r="N74" t="s">
        <v>143</v>
      </c>
      <c r="O74" t="s">
        <v>411</v>
      </c>
      <c r="P74" t="str">
        <f t="shared" si="3"/>
        <v>2025-02</v>
      </c>
      <c r="Q74">
        <f>IF(tblWO[[#This Row],[Status]]="Completed",1,
IF(tblWO[[#This Row],[Status]]="In Progress",2,
IF(tblWO[[#This Row],[Status]]="Planned",3,
IF(tblWO[[#This Row],[Status]]="Cancelled",4,99))))</f>
        <v>1</v>
      </c>
      <c r="R74">
        <f t="shared" si="4"/>
        <v>3</v>
      </c>
      <c r="S74" s="6" t="str">
        <f t="shared" si="5"/>
        <v>2025-02</v>
      </c>
    </row>
    <row r="75" spans="1:19">
      <c r="A75" t="s">
        <v>443</v>
      </c>
      <c r="B75" t="s">
        <v>24</v>
      </c>
      <c r="C75" t="s">
        <v>25</v>
      </c>
      <c r="D75" t="s">
        <v>146</v>
      </c>
      <c r="E75" t="s">
        <v>45</v>
      </c>
      <c r="F75" t="s">
        <v>138</v>
      </c>
      <c r="G75" t="s">
        <v>444</v>
      </c>
      <c r="H75" t="s">
        <v>445</v>
      </c>
      <c r="I75" t="s">
        <v>445</v>
      </c>
      <c r="J75" t="s">
        <v>446</v>
      </c>
      <c r="K75" s="2">
        <v>4.7</v>
      </c>
      <c r="L75" s="3">
        <v>215241.96</v>
      </c>
      <c r="M75" t="s">
        <v>234</v>
      </c>
      <c r="N75" t="s">
        <v>239</v>
      </c>
      <c r="O75" t="s">
        <v>411</v>
      </c>
      <c r="P75" t="str">
        <f t="shared" si="3"/>
        <v>2024-12</v>
      </c>
      <c r="Q75">
        <f>IF(tblWO[[#This Row],[Status]]="Completed",1,
IF(tblWO[[#This Row],[Status]]="In Progress",2,
IF(tblWO[[#This Row],[Status]]="Planned",3,
IF(tblWO[[#This Row],[Status]]="Cancelled",4,99))))</f>
        <v>1</v>
      </c>
      <c r="R75">
        <f t="shared" si="4"/>
        <v>3</v>
      </c>
      <c r="S75" s="6" t="str">
        <f t="shared" si="5"/>
        <v>2024-12</v>
      </c>
    </row>
    <row r="76" spans="1:19">
      <c r="A76" t="s">
        <v>447</v>
      </c>
      <c r="B76" t="s">
        <v>24</v>
      </c>
      <c r="C76" t="s">
        <v>25</v>
      </c>
      <c r="D76" t="s">
        <v>169</v>
      </c>
      <c r="E76" t="s">
        <v>45</v>
      </c>
      <c r="F76" t="s">
        <v>147</v>
      </c>
      <c r="G76" t="s">
        <v>448</v>
      </c>
      <c r="H76" t="s">
        <v>449</v>
      </c>
      <c r="K76" s="2">
        <v>0</v>
      </c>
      <c r="L76" s="3">
        <v>0</v>
      </c>
      <c r="N76" t="s">
        <v>150</v>
      </c>
      <c r="O76" t="s">
        <v>438</v>
      </c>
      <c r="P76" t="str">
        <f t="shared" si="3"/>
        <v>2025-01</v>
      </c>
      <c r="Q76">
        <f>IF(tblWO[[#This Row],[Status]]="Completed",1,
IF(tblWO[[#This Row],[Status]]="In Progress",2,
IF(tblWO[[#This Row],[Status]]="Planned",3,
IF(tblWO[[#This Row],[Status]]="Cancelled",4,99))))</f>
        <v>2</v>
      </c>
      <c r="R76">
        <f t="shared" si="4"/>
        <v>4</v>
      </c>
      <c r="S76" s="6" t="str">
        <f t="shared" si="5"/>
        <v>2025-01</v>
      </c>
    </row>
    <row r="77" spans="1:19">
      <c r="A77" t="s">
        <v>450</v>
      </c>
      <c r="B77" t="s">
        <v>24</v>
      </c>
      <c r="C77" t="s">
        <v>25</v>
      </c>
      <c r="D77" t="s">
        <v>158</v>
      </c>
      <c r="E77" t="s">
        <v>37</v>
      </c>
      <c r="F77" t="s">
        <v>138</v>
      </c>
      <c r="G77" t="s">
        <v>451</v>
      </c>
      <c r="H77" t="s">
        <v>452</v>
      </c>
      <c r="I77" t="s">
        <v>452</v>
      </c>
      <c r="J77" t="s">
        <v>453</v>
      </c>
      <c r="K77" s="2">
        <v>3.4</v>
      </c>
      <c r="L77" s="3">
        <v>64909.51</v>
      </c>
      <c r="M77" t="s">
        <v>142</v>
      </c>
      <c r="N77" t="s">
        <v>239</v>
      </c>
      <c r="O77" t="s">
        <v>406</v>
      </c>
      <c r="P77" t="str">
        <f t="shared" si="3"/>
        <v>2025-09</v>
      </c>
      <c r="Q77">
        <f>IF(tblWO[[#This Row],[Status]]="Completed",1,
IF(tblWO[[#This Row],[Status]]="In Progress",2,
IF(tblWO[[#This Row],[Status]]="Planned",3,
IF(tblWO[[#This Row],[Status]]="Cancelled",4,99))))</f>
        <v>1</v>
      </c>
      <c r="R77">
        <f t="shared" si="4"/>
        <v>1</v>
      </c>
      <c r="S77" s="6" t="str">
        <f t="shared" si="5"/>
        <v>2025-09</v>
      </c>
    </row>
    <row r="78" spans="1:19">
      <c r="A78" t="s">
        <v>454</v>
      </c>
      <c r="B78" t="s">
        <v>24</v>
      </c>
      <c r="C78" t="s">
        <v>25</v>
      </c>
      <c r="D78" t="s">
        <v>146</v>
      </c>
      <c r="E78" t="s">
        <v>37</v>
      </c>
      <c r="F78" t="s">
        <v>138</v>
      </c>
      <c r="G78" t="s">
        <v>455</v>
      </c>
      <c r="H78" t="s">
        <v>456</v>
      </c>
      <c r="I78" t="s">
        <v>456</v>
      </c>
      <c r="J78" t="s">
        <v>457</v>
      </c>
      <c r="K78" s="2">
        <v>12.1</v>
      </c>
      <c r="L78" s="3">
        <v>208898.48</v>
      </c>
      <c r="M78" t="s">
        <v>173</v>
      </c>
      <c r="N78" t="s">
        <v>156</v>
      </c>
      <c r="O78" t="s">
        <v>411</v>
      </c>
      <c r="P78" t="str">
        <f t="shared" si="3"/>
        <v>2025-05</v>
      </c>
      <c r="Q78">
        <f>IF(tblWO[[#This Row],[Status]]="Completed",1,
IF(tblWO[[#This Row],[Status]]="In Progress",2,
IF(tblWO[[#This Row],[Status]]="Planned",3,
IF(tblWO[[#This Row],[Status]]="Cancelled",4,99))))</f>
        <v>1</v>
      </c>
      <c r="R78">
        <f t="shared" si="4"/>
        <v>3</v>
      </c>
      <c r="S78" s="6" t="str">
        <f t="shared" si="5"/>
        <v>2025-05</v>
      </c>
    </row>
    <row r="79" spans="1:19">
      <c r="A79" t="s">
        <v>458</v>
      </c>
      <c r="B79" t="s">
        <v>24</v>
      </c>
      <c r="C79" t="s">
        <v>25</v>
      </c>
      <c r="D79" t="s">
        <v>158</v>
      </c>
      <c r="E79" t="s">
        <v>37</v>
      </c>
      <c r="F79" t="s">
        <v>138</v>
      </c>
      <c r="G79" t="s">
        <v>459</v>
      </c>
      <c r="H79" t="s">
        <v>460</v>
      </c>
      <c r="I79" t="s">
        <v>460</v>
      </c>
      <c r="J79" t="s">
        <v>461</v>
      </c>
      <c r="K79" s="2">
        <v>4.5</v>
      </c>
      <c r="L79" s="3">
        <v>72831.72</v>
      </c>
      <c r="M79" t="s">
        <v>142</v>
      </c>
      <c r="N79" t="s">
        <v>162</v>
      </c>
      <c r="O79" t="s">
        <v>406</v>
      </c>
      <c r="P79" t="str">
        <f t="shared" si="3"/>
        <v>2025-10</v>
      </c>
      <c r="Q79">
        <f>IF(tblWO[[#This Row],[Status]]="Completed",1,
IF(tblWO[[#This Row],[Status]]="In Progress",2,
IF(tblWO[[#This Row],[Status]]="Planned",3,
IF(tblWO[[#This Row],[Status]]="Cancelled",4,99))))</f>
        <v>1</v>
      </c>
      <c r="R79">
        <f t="shared" si="4"/>
        <v>1</v>
      </c>
      <c r="S79" s="6" t="str">
        <f t="shared" si="5"/>
        <v>2025-10</v>
      </c>
    </row>
    <row r="80" spans="1:19">
      <c r="A80" t="s">
        <v>462</v>
      </c>
      <c r="B80" t="s">
        <v>24</v>
      </c>
      <c r="C80" t="s">
        <v>25</v>
      </c>
      <c r="D80" t="s">
        <v>463</v>
      </c>
      <c r="E80" t="s">
        <v>45</v>
      </c>
      <c r="F80" t="s">
        <v>138</v>
      </c>
      <c r="G80" t="s">
        <v>464</v>
      </c>
      <c r="H80" t="s">
        <v>465</v>
      </c>
      <c r="I80" t="s">
        <v>465</v>
      </c>
      <c r="J80" t="s">
        <v>466</v>
      </c>
      <c r="K80" s="2">
        <v>40.799999999999997</v>
      </c>
      <c r="L80" s="3">
        <v>1018963.84</v>
      </c>
      <c r="M80" t="s">
        <v>390</v>
      </c>
      <c r="N80" t="s">
        <v>156</v>
      </c>
      <c r="O80" t="s">
        <v>467</v>
      </c>
      <c r="P80" t="str">
        <f t="shared" si="3"/>
        <v>2025-12</v>
      </c>
      <c r="Q80">
        <f>IF(tblWO[[#This Row],[Status]]="Completed",1,
IF(tblWO[[#This Row],[Status]]="In Progress",2,
IF(tblWO[[#This Row],[Status]]="Planned",3,
IF(tblWO[[#This Row],[Status]]="Cancelled",4,99))))</f>
        <v>1</v>
      </c>
      <c r="R80">
        <f t="shared" si="4"/>
        <v>5</v>
      </c>
      <c r="S80" s="6" t="str">
        <f t="shared" si="5"/>
        <v>2025-12</v>
      </c>
    </row>
    <row r="81" spans="1:19">
      <c r="A81" t="s">
        <v>468</v>
      </c>
      <c r="B81" t="s">
        <v>24</v>
      </c>
      <c r="C81" t="s">
        <v>25</v>
      </c>
      <c r="D81" t="s">
        <v>137</v>
      </c>
      <c r="E81" t="s">
        <v>32</v>
      </c>
      <c r="F81" t="s">
        <v>138</v>
      </c>
      <c r="G81" t="s">
        <v>469</v>
      </c>
      <c r="H81" t="s">
        <v>470</v>
      </c>
      <c r="I81" t="s">
        <v>470</v>
      </c>
      <c r="J81" t="s">
        <v>471</v>
      </c>
      <c r="K81" s="2">
        <v>3.9</v>
      </c>
      <c r="L81" s="3">
        <v>57600.83</v>
      </c>
      <c r="M81" t="s">
        <v>142</v>
      </c>
      <c r="N81" t="s">
        <v>174</v>
      </c>
      <c r="O81" t="s">
        <v>401</v>
      </c>
      <c r="P81" t="str">
        <f t="shared" si="3"/>
        <v>2025-03</v>
      </c>
      <c r="Q81">
        <f>IF(tblWO[[#This Row],[Status]]="Completed",1,
IF(tblWO[[#This Row],[Status]]="In Progress",2,
IF(tblWO[[#This Row],[Status]]="Planned",3,
IF(tblWO[[#This Row],[Status]]="Cancelled",4,99))))</f>
        <v>1</v>
      </c>
      <c r="R81">
        <f t="shared" si="4"/>
        <v>2</v>
      </c>
      <c r="S81" s="6" t="str">
        <f t="shared" si="5"/>
        <v>2025-03</v>
      </c>
    </row>
    <row r="82" spans="1:19">
      <c r="A82" t="s">
        <v>472</v>
      </c>
      <c r="B82" t="s">
        <v>24</v>
      </c>
      <c r="C82" t="s">
        <v>25</v>
      </c>
      <c r="D82" t="s">
        <v>158</v>
      </c>
      <c r="E82" t="s">
        <v>45</v>
      </c>
      <c r="F82" t="s">
        <v>138</v>
      </c>
      <c r="G82" t="s">
        <v>473</v>
      </c>
      <c r="H82" t="s">
        <v>474</v>
      </c>
      <c r="I82" t="s">
        <v>474</v>
      </c>
      <c r="J82" t="s">
        <v>475</v>
      </c>
      <c r="K82" s="2">
        <v>7</v>
      </c>
      <c r="L82" s="3">
        <v>215645.88</v>
      </c>
      <c r="M82" t="s">
        <v>142</v>
      </c>
      <c r="N82" t="s">
        <v>174</v>
      </c>
      <c r="O82" t="s">
        <v>406</v>
      </c>
      <c r="P82" t="str">
        <f t="shared" si="3"/>
        <v>2025-11</v>
      </c>
      <c r="Q82">
        <f>IF(tblWO[[#This Row],[Status]]="Completed",1,
IF(tblWO[[#This Row],[Status]]="In Progress",2,
IF(tblWO[[#This Row],[Status]]="Planned",3,
IF(tblWO[[#This Row],[Status]]="Cancelled",4,99))))</f>
        <v>1</v>
      </c>
      <c r="R82">
        <f t="shared" si="4"/>
        <v>1</v>
      </c>
      <c r="S82" s="6" t="str">
        <f t="shared" si="5"/>
        <v>2025-11</v>
      </c>
    </row>
    <row r="83" spans="1:19">
      <c r="A83" t="s">
        <v>476</v>
      </c>
      <c r="B83" t="s">
        <v>24</v>
      </c>
      <c r="C83" t="s">
        <v>25</v>
      </c>
      <c r="D83" t="s">
        <v>169</v>
      </c>
      <c r="E83" t="s">
        <v>37</v>
      </c>
      <c r="F83" t="s">
        <v>138</v>
      </c>
      <c r="G83" t="s">
        <v>477</v>
      </c>
      <c r="H83" t="s">
        <v>478</v>
      </c>
      <c r="I83" t="s">
        <v>478</v>
      </c>
      <c r="J83" t="s">
        <v>479</v>
      </c>
      <c r="K83" s="2">
        <v>46.8</v>
      </c>
      <c r="L83" s="3">
        <v>442505.03</v>
      </c>
      <c r="M83" t="s">
        <v>390</v>
      </c>
      <c r="N83" t="s">
        <v>162</v>
      </c>
      <c r="O83" t="s">
        <v>438</v>
      </c>
      <c r="P83" t="str">
        <f t="shared" si="3"/>
        <v>2025-01</v>
      </c>
      <c r="Q83">
        <f>IF(tblWO[[#This Row],[Status]]="Completed",1,
IF(tblWO[[#This Row],[Status]]="In Progress",2,
IF(tblWO[[#This Row],[Status]]="Planned",3,
IF(tblWO[[#This Row],[Status]]="Cancelled",4,99))))</f>
        <v>1</v>
      </c>
      <c r="R83">
        <f t="shared" si="4"/>
        <v>4</v>
      </c>
      <c r="S83" s="6" t="str">
        <f t="shared" si="5"/>
        <v>2025-01</v>
      </c>
    </row>
    <row r="84" spans="1:19">
      <c r="A84" t="s">
        <v>480</v>
      </c>
      <c r="B84" t="s">
        <v>24</v>
      </c>
      <c r="C84" t="s">
        <v>25</v>
      </c>
      <c r="D84" t="s">
        <v>146</v>
      </c>
      <c r="E84" t="s">
        <v>37</v>
      </c>
      <c r="F84" t="s">
        <v>138</v>
      </c>
      <c r="G84" t="s">
        <v>481</v>
      </c>
      <c r="H84" t="s">
        <v>482</v>
      </c>
      <c r="I84" t="s">
        <v>482</v>
      </c>
      <c r="J84" t="s">
        <v>483</v>
      </c>
      <c r="K84" s="2">
        <v>19.100000000000001</v>
      </c>
      <c r="L84" s="3">
        <v>350163.5</v>
      </c>
      <c r="M84" t="s">
        <v>390</v>
      </c>
      <c r="N84" t="s">
        <v>162</v>
      </c>
      <c r="O84" t="s">
        <v>411</v>
      </c>
      <c r="P84" t="str">
        <f t="shared" si="3"/>
        <v>2025-08</v>
      </c>
      <c r="Q84">
        <f>IF(tblWO[[#This Row],[Status]]="Completed",1,
IF(tblWO[[#This Row],[Status]]="In Progress",2,
IF(tblWO[[#This Row],[Status]]="Planned",3,
IF(tblWO[[#This Row],[Status]]="Cancelled",4,99))))</f>
        <v>1</v>
      </c>
      <c r="R84">
        <f t="shared" si="4"/>
        <v>3</v>
      </c>
      <c r="S84" s="6" t="str">
        <f t="shared" si="5"/>
        <v>2025-08</v>
      </c>
    </row>
    <row r="85" spans="1:19">
      <c r="A85" t="s">
        <v>484</v>
      </c>
      <c r="B85" t="s">
        <v>24</v>
      </c>
      <c r="C85" t="s">
        <v>25</v>
      </c>
      <c r="D85" t="s">
        <v>158</v>
      </c>
      <c r="E85" t="s">
        <v>32</v>
      </c>
      <c r="F85" t="s">
        <v>138</v>
      </c>
      <c r="G85" t="s">
        <v>187</v>
      </c>
      <c r="H85" t="s">
        <v>188</v>
      </c>
      <c r="I85" t="s">
        <v>188</v>
      </c>
      <c r="J85" t="s">
        <v>485</v>
      </c>
      <c r="K85" s="2">
        <v>6.8</v>
      </c>
      <c r="L85" s="3">
        <v>57217.36</v>
      </c>
      <c r="M85" t="s">
        <v>142</v>
      </c>
      <c r="N85" t="s">
        <v>150</v>
      </c>
      <c r="O85" t="s">
        <v>406</v>
      </c>
      <c r="P85" t="str">
        <f t="shared" si="3"/>
        <v>2025-09</v>
      </c>
      <c r="Q85">
        <f>IF(tblWO[[#This Row],[Status]]="Completed",1,
IF(tblWO[[#This Row],[Status]]="In Progress",2,
IF(tblWO[[#This Row],[Status]]="Planned",3,
IF(tblWO[[#This Row],[Status]]="Cancelled",4,99))))</f>
        <v>1</v>
      </c>
      <c r="R85">
        <f t="shared" si="4"/>
        <v>1</v>
      </c>
      <c r="S85" s="6" t="str">
        <f t="shared" si="5"/>
        <v>2025-09</v>
      </c>
    </row>
    <row r="86" spans="1:19">
      <c r="A86" t="s">
        <v>486</v>
      </c>
      <c r="B86" t="s">
        <v>24</v>
      </c>
      <c r="C86" t="s">
        <v>25</v>
      </c>
      <c r="D86" t="s">
        <v>169</v>
      </c>
      <c r="E86" t="s">
        <v>37</v>
      </c>
      <c r="F86" t="s">
        <v>138</v>
      </c>
      <c r="G86" t="s">
        <v>487</v>
      </c>
      <c r="H86" t="s">
        <v>488</v>
      </c>
      <c r="I86" t="s">
        <v>488</v>
      </c>
      <c r="J86" t="s">
        <v>489</v>
      </c>
      <c r="K86" s="2">
        <v>41.7</v>
      </c>
      <c r="L86" s="3">
        <v>268076.67</v>
      </c>
      <c r="M86" t="s">
        <v>291</v>
      </c>
      <c r="N86" t="s">
        <v>185</v>
      </c>
      <c r="O86" t="s">
        <v>438</v>
      </c>
      <c r="P86" t="str">
        <f t="shared" si="3"/>
        <v>2025-09</v>
      </c>
      <c r="Q86">
        <f>IF(tblWO[[#This Row],[Status]]="Completed",1,
IF(tblWO[[#This Row],[Status]]="In Progress",2,
IF(tblWO[[#This Row],[Status]]="Planned",3,
IF(tblWO[[#This Row],[Status]]="Cancelled",4,99))))</f>
        <v>1</v>
      </c>
      <c r="R86">
        <f t="shared" si="4"/>
        <v>4</v>
      </c>
      <c r="S86" s="6" t="str">
        <f t="shared" si="5"/>
        <v>2025-09</v>
      </c>
    </row>
    <row r="87" spans="1:19">
      <c r="A87" t="s">
        <v>490</v>
      </c>
      <c r="B87" t="s">
        <v>29</v>
      </c>
      <c r="C87" t="s">
        <v>30</v>
      </c>
      <c r="D87" t="s">
        <v>169</v>
      </c>
      <c r="E87" t="s">
        <v>32</v>
      </c>
      <c r="F87" t="s">
        <v>138</v>
      </c>
      <c r="G87" t="s">
        <v>491</v>
      </c>
      <c r="H87" t="s">
        <v>492</v>
      </c>
      <c r="I87" t="s">
        <v>492</v>
      </c>
      <c r="J87" t="s">
        <v>493</v>
      </c>
      <c r="K87" s="2">
        <v>47.2</v>
      </c>
      <c r="L87" s="3">
        <v>346238.54</v>
      </c>
      <c r="M87" t="s">
        <v>328</v>
      </c>
      <c r="N87" t="s">
        <v>143</v>
      </c>
      <c r="O87" t="s">
        <v>494</v>
      </c>
      <c r="P87" t="str">
        <f t="shared" si="3"/>
        <v>2025-05</v>
      </c>
      <c r="Q87">
        <f>IF(tblWO[[#This Row],[Status]]="Completed",1,
IF(tblWO[[#This Row],[Status]]="In Progress",2,
IF(tblWO[[#This Row],[Status]]="Planned",3,
IF(tblWO[[#This Row],[Status]]="Cancelled",4,99))))</f>
        <v>1</v>
      </c>
      <c r="R87">
        <f t="shared" si="4"/>
        <v>4</v>
      </c>
      <c r="S87" s="6" t="str">
        <f t="shared" si="5"/>
        <v>2025-05</v>
      </c>
    </row>
    <row r="88" spans="1:19">
      <c r="A88" t="s">
        <v>495</v>
      </c>
      <c r="B88" t="s">
        <v>29</v>
      </c>
      <c r="C88" t="s">
        <v>30</v>
      </c>
      <c r="D88" t="s">
        <v>158</v>
      </c>
      <c r="E88" t="s">
        <v>32</v>
      </c>
      <c r="F88" t="s">
        <v>147</v>
      </c>
      <c r="G88" t="s">
        <v>459</v>
      </c>
      <c r="H88" t="s">
        <v>460</v>
      </c>
      <c r="K88" s="2">
        <v>0</v>
      </c>
      <c r="L88" s="3">
        <v>0</v>
      </c>
      <c r="N88" t="s">
        <v>239</v>
      </c>
      <c r="O88" t="s">
        <v>496</v>
      </c>
      <c r="P88" t="str">
        <f t="shared" si="3"/>
        <v>2025-10</v>
      </c>
      <c r="Q88">
        <f>IF(tblWO[[#This Row],[Status]]="Completed",1,
IF(tblWO[[#This Row],[Status]]="In Progress",2,
IF(tblWO[[#This Row],[Status]]="Planned",3,
IF(tblWO[[#This Row],[Status]]="Cancelled",4,99))))</f>
        <v>2</v>
      </c>
      <c r="R88">
        <f t="shared" si="4"/>
        <v>1</v>
      </c>
      <c r="S88" s="6" t="str">
        <f t="shared" si="5"/>
        <v>2025-10</v>
      </c>
    </row>
    <row r="89" spans="1:19">
      <c r="A89" t="s">
        <v>497</v>
      </c>
      <c r="B89" t="s">
        <v>29</v>
      </c>
      <c r="C89" t="s">
        <v>30</v>
      </c>
      <c r="D89" t="s">
        <v>169</v>
      </c>
      <c r="E89" t="s">
        <v>32</v>
      </c>
      <c r="F89" t="s">
        <v>138</v>
      </c>
      <c r="G89" t="s">
        <v>498</v>
      </c>
      <c r="H89" t="s">
        <v>499</v>
      </c>
      <c r="I89" t="s">
        <v>499</v>
      </c>
      <c r="J89" t="s">
        <v>500</v>
      </c>
      <c r="K89" s="2">
        <v>19.3</v>
      </c>
      <c r="L89" s="3">
        <v>379133.51</v>
      </c>
      <c r="M89" t="s">
        <v>213</v>
      </c>
      <c r="N89" t="s">
        <v>156</v>
      </c>
      <c r="O89" t="s">
        <v>494</v>
      </c>
      <c r="P89" t="str">
        <f t="shared" si="3"/>
        <v>2025-06</v>
      </c>
      <c r="Q89">
        <f>IF(tblWO[[#This Row],[Status]]="Completed",1,
IF(tblWO[[#This Row],[Status]]="In Progress",2,
IF(tblWO[[#This Row],[Status]]="Planned",3,
IF(tblWO[[#This Row],[Status]]="Cancelled",4,99))))</f>
        <v>1</v>
      </c>
      <c r="R89">
        <f t="shared" si="4"/>
        <v>4</v>
      </c>
      <c r="S89" s="6" t="str">
        <f t="shared" si="5"/>
        <v>2025-06</v>
      </c>
    </row>
    <row r="90" spans="1:19">
      <c r="A90" t="s">
        <v>501</v>
      </c>
      <c r="B90" t="s">
        <v>29</v>
      </c>
      <c r="C90" t="s">
        <v>30</v>
      </c>
      <c r="D90" t="s">
        <v>137</v>
      </c>
      <c r="E90" t="s">
        <v>45</v>
      </c>
      <c r="F90" t="s">
        <v>138</v>
      </c>
      <c r="G90" t="s">
        <v>502</v>
      </c>
      <c r="H90" t="s">
        <v>503</v>
      </c>
      <c r="I90" t="s">
        <v>503</v>
      </c>
      <c r="J90" t="s">
        <v>504</v>
      </c>
      <c r="K90" s="2">
        <v>2.6</v>
      </c>
      <c r="L90" s="3">
        <v>56427.57</v>
      </c>
      <c r="M90" t="s">
        <v>142</v>
      </c>
      <c r="N90" t="s">
        <v>342</v>
      </c>
      <c r="O90" t="s">
        <v>505</v>
      </c>
      <c r="P90" t="str">
        <f t="shared" si="3"/>
        <v>2025-08</v>
      </c>
      <c r="Q90">
        <f>IF(tblWO[[#This Row],[Status]]="Completed",1,
IF(tblWO[[#This Row],[Status]]="In Progress",2,
IF(tblWO[[#This Row],[Status]]="Planned",3,
IF(tblWO[[#This Row],[Status]]="Cancelled",4,99))))</f>
        <v>1</v>
      </c>
      <c r="R90">
        <f t="shared" si="4"/>
        <v>2</v>
      </c>
      <c r="S90" s="6" t="str">
        <f t="shared" si="5"/>
        <v>2025-08</v>
      </c>
    </row>
    <row r="91" spans="1:19">
      <c r="A91" t="s">
        <v>506</v>
      </c>
      <c r="B91" t="s">
        <v>29</v>
      </c>
      <c r="C91" t="s">
        <v>30</v>
      </c>
      <c r="D91" t="s">
        <v>137</v>
      </c>
      <c r="E91" t="s">
        <v>32</v>
      </c>
      <c r="F91" t="s">
        <v>138</v>
      </c>
      <c r="G91" t="s">
        <v>507</v>
      </c>
      <c r="H91" t="s">
        <v>508</v>
      </c>
      <c r="I91" t="s">
        <v>508</v>
      </c>
      <c r="J91" t="s">
        <v>509</v>
      </c>
      <c r="K91" s="2">
        <v>2.2000000000000002</v>
      </c>
      <c r="L91" s="3">
        <v>45454.11</v>
      </c>
      <c r="M91" t="s">
        <v>142</v>
      </c>
      <c r="N91" t="s">
        <v>156</v>
      </c>
      <c r="O91" t="s">
        <v>505</v>
      </c>
      <c r="P91" t="str">
        <f t="shared" si="3"/>
        <v>2025-12</v>
      </c>
      <c r="Q91">
        <f>IF(tblWO[[#This Row],[Status]]="Completed",1,
IF(tblWO[[#This Row],[Status]]="In Progress",2,
IF(tblWO[[#This Row],[Status]]="Planned",3,
IF(tblWO[[#This Row],[Status]]="Cancelled",4,99))))</f>
        <v>1</v>
      </c>
      <c r="R91">
        <f t="shared" si="4"/>
        <v>2</v>
      </c>
      <c r="S91" s="6" t="str">
        <f t="shared" si="5"/>
        <v>2025-12</v>
      </c>
    </row>
    <row r="92" spans="1:19">
      <c r="A92" t="s">
        <v>510</v>
      </c>
      <c r="B92" t="s">
        <v>29</v>
      </c>
      <c r="C92" t="s">
        <v>30</v>
      </c>
      <c r="D92" t="s">
        <v>169</v>
      </c>
      <c r="E92" t="s">
        <v>45</v>
      </c>
      <c r="F92" t="s">
        <v>138</v>
      </c>
      <c r="G92" t="s">
        <v>511</v>
      </c>
      <c r="H92" t="s">
        <v>512</v>
      </c>
      <c r="I92" t="s">
        <v>512</v>
      </c>
      <c r="J92" t="s">
        <v>513</v>
      </c>
      <c r="K92" s="2">
        <v>14.1</v>
      </c>
      <c r="L92" s="3">
        <v>778894.66</v>
      </c>
      <c r="M92" t="s">
        <v>213</v>
      </c>
      <c r="N92" t="s">
        <v>143</v>
      </c>
      <c r="O92" t="s">
        <v>494</v>
      </c>
      <c r="P92" t="str">
        <f t="shared" si="3"/>
        <v>2025-07</v>
      </c>
      <c r="Q92">
        <f>IF(tblWO[[#This Row],[Status]]="Completed",1,
IF(tblWO[[#This Row],[Status]]="In Progress",2,
IF(tblWO[[#This Row],[Status]]="Planned",3,
IF(tblWO[[#This Row],[Status]]="Cancelled",4,99))))</f>
        <v>1</v>
      </c>
      <c r="R92">
        <f t="shared" si="4"/>
        <v>4</v>
      </c>
      <c r="S92" s="6" t="str">
        <f t="shared" si="5"/>
        <v>2025-07</v>
      </c>
    </row>
    <row r="93" spans="1:19">
      <c r="A93" t="s">
        <v>514</v>
      </c>
      <c r="B93" t="s">
        <v>29</v>
      </c>
      <c r="C93" t="s">
        <v>30</v>
      </c>
      <c r="D93" t="s">
        <v>146</v>
      </c>
      <c r="E93" t="s">
        <v>45</v>
      </c>
      <c r="F93" t="s">
        <v>147</v>
      </c>
      <c r="G93" t="s">
        <v>515</v>
      </c>
      <c r="H93" t="s">
        <v>516</v>
      </c>
      <c r="K93" s="2">
        <v>0</v>
      </c>
      <c r="L93" s="3">
        <v>0</v>
      </c>
      <c r="N93" t="s">
        <v>156</v>
      </c>
      <c r="O93" t="s">
        <v>517</v>
      </c>
      <c r="P93" t="str">
        <f t="shared" si="3"/>
        <v>2025-06</v>
      </c>
      <c r="Q93">
        <f>IF(tblWO[[#This Row],[Status]]="Completed",1,
IF(tblWO[[#This Row],[Status]]="In Progress",2,
IF(tblWO[[#This Row],[Status]]="Planned",3,
IF(tblWO[[#This Row],[Status]]="Cancelled",4,99))))</f>
        <v>2</v>
      </c>
      <c r="R93">
        <f t="shared" si="4"/>
        <v>3</v>
      </c>
      <c r="S93" s="6" t="str">
        <f t="shared" si="5"/>
        <v>2025-06</v>
      </c>
    </row>
    <row r="94" spans="1:19">
      <c r="A94" t="s">
        <v>518</v>
      </c>
      <c r="B94" t="s">
        <v>29</v>
      </c>
      <c r="C94" t="s">
        <v>30</v>
      </c>
      <c r="D94" t="s">
        <v>158</v>
      </c>
      <c r="E94" t="s">
        <v>37</v>
      </c>
      <c r="F94" t="s">
        <v>138</v>
      </c>
      <c r="G94" t="s">
        <v>519</v>
      </c>
      <c r="H94" t="s">
        <v>520</v>
      </c>
      <c r="I94" t="s">
        <v>520</v>
      </c>
      <c r="J94" t="s">
        <v>521</v>
      </c>
      <c r="K94" s="2">
        <v>6.7</v>
      </c>
      <c r="L94" s="3">
        <v>292300.90999999997</v>
      </c>
      <c r="M94" t="s">
        <v>142</v>
      </c>
      <c r="N94" t="s">
        <v>342</v>
      </c>
      <c r="O94" t="s">
        <v>496</v>
      </c>
      <c r="P94" t="str">
        <f t="shared" si="3"/>
        <v>2025-03</v>
      </c>
      <c r="Q94">
        <f>IF(tblWO[[#This Row],[Status]]="Completed",1,
IF(tblWO[[#This Row],[Status]]="In Progress",2,
IF(tblWO[[#This Row],[Status]]="Planned",3,
IF(tblWO[[#This Row],[Status]]="Cancelled",4,99))))</f>
        <v>1</v>
      </c>
      <c r="R94">
        <f t="shared" si="4"/>
        <v>1</v>
      </c>
      <c r="S94" s="6" t="str">
        <f t="shared" si="5"/>
        <v>2025-03</v>
      </c>
    </row>
    <row r="95" spans="1:19">
      <c r="A95" t="s">
        <v>522</v>
      </c>
      <c r="B95" t="s">
        <v>34</v>
      </c>
      <c r="C95" t="s">
        <v>35</v>
      </c>
      <c r="D95" t="s">
        <v>146</v>
      </c>
      <c r="E95" t="s">
        <v>37</v>
      </c>
      <c r="F95" t="s">
        <v>138</v>
      </c>
      <c r="G95" t="s">
        <v>523</v>
      </c>
      <c r="H95" t="s">
        <v>524</v>
      </c>
      <c r="I95" t="s">
        <v>524</v>
      </c>
      <c r="J95" t="s">
        <v>525</v>
      </c>
      <c r="K95" s="2">
        <v>18.399999999999999</v>
      </c>
      <c r="L95" s="3">
        <v>403760.72</v>
      </c>
      <c r="M95" t="s">
        <v>249</v>
      </c>
      <c r="N95" t="s">
        <v>162</v>
      </c>
      <c r="O95" t="s">
        <v>526</v>
      </c>
      <c r="P95" t="str">
        <f t="shared" si="3"/>
        <v>2025-12</v>
      </c>
      <c r="Q95">
        <f>IF(tblWO[[#This Row],[Status]]="Completed",1,
IF(tblWO[[#This Row],[Status]]="In Progress",2,
IF(tblWO[[#This Row],[Status]]="Planned",3,
IF(tblWO[[#This Row],[Status]]="Cancelled",4,99))))</f>
        <v>1</v>
      </c>
      <c r="R95">
        <f t="shared" si="4"/>
        <v>3</v>
      </c>
      <c r="S95" s="6" t="str">
        <f t="shared" si="5"/>
        <v>2025-12</v>
      </c>
    </row>
    <row r="96" spans="1:19">
      <c r="A96" t="s">
        <v>527</v>
      </c>
      <c r="B96" t="s">
        <v>34</v>
      </c>
      <c r="C96" t="s">
        <v>35</v>
      </c>
      <c r="D96" t="s">
        <v>146</v>
      </c>
      <c r="E96" t="s">
        <v>37</v>
      </c>
      <c r="F96" t="s">
        <v>138</v>
      </c>
      <c r="G96" t="s">
        <v>528</v>
      </c>
      <c r="H96" t="s">
        <v>529</v>
      </c>
      <c r="I96" t="s">
        <v>529</v>
      </c>
      <c r="J96" t="s">
        <v>530</v>
      </c>
      <c r="K96" s="2">
        <v>5.8</v>
      </c>
      <c r="L96" s="3">
        <v>491335.09</v>
      </c>
      <c r="M96" t="s">
        <v>308</v>
      </c>
      <c r="N96" t="s">
        <v>185</v>
      </c>
      <c r="O96" t="s">
        <v>526</v>
      </c>
      <c r="P96" t="str">
        <f t="shared" si="3"/>
        <v>2025-11</v>
      </c>
      <c r="Q96">
        <f>IF(tblWO[[#This Row],[Status]]="Completed",1,
IF(tblWO[[#This Row],[Status]]="In Progress",2,
IF(tblWO[[#This Row],[Status]]="Planned",3,
IF(tblWO[[#This Row],[Status]]="Cancelled",4,99))))</f>
        <v>1</v>
      </c>
      <c r="R96">
        <f t="shared" si="4"/>
        <v>3</v>
      </c>
      <c r="S96" s="6" t="str">
        <f t="shared" si="5"/>
        <v>2025-11</v>
      </c>
    </row>
    <row r="97" spans="1:19">
      <c r="A97" t="s">
        <v>531</v>
      </c>
      <c r="B97" t="s">
        <v>34</v>
      </c>
      <c r="C97" t="s">
        <v>35</v>
      </c>
      <c r="D97" t="s">
        <v>158</v>
      </c>
      <c r="E97" t="s">
        <v>37</v>
      </c>
      <c r="F97" t="s">
        <v>138</v>
      </c>
      <c r="G97" t="s">
        <v>532</v>
      </c>
      <c r="H97" t="s">
        <v>533</v>
      </c>
      <c r="I97" t="s">
        <v>533</v>
      </c>
      <c r="J97" t="s">
        <v>534</v>
      </c>
      <c r="K97" s="2">
        <v>2.6</v>
      </c>
      <c r="L97" s="3">
        <v>139615.84</v>
      </c>
      <c r="M97" t="s">
        <v>142</v>
      </c>
      <c r="N97" t="s">
        <v>174</v>
      </c>
      <c r="O97" t="s">
        <v>535</v>
      </c>
      <c r="P97" t="str">
        <f t="shared" si="3"/>
        <v>2025-12</v>
      </c>
      <c r="Q97">
        <f>IF(tblWO[[#This Row],[Status]]="Completed",1,
IF(tblWO[[#This Row],[Status]]="In Progress",2,
IF(tblWO[[#This Row],[Status]]="Planned",3,
IF(tblWO[[#This Row],[Status]]="Cancelled",4,99))))</f>
        <v>1</v>
      </c>
      <c r="R97">
        <f t="shared" si="4"/>
        <v>1</v>
      </c>
      <c r="S97" s="6" t="str">
        <f t="shared" si="5"/>
        <v>2025-12</v>
      </c>
    </row>
    <row r="98" spans="1:19">
      <c r="A98" t="s">
        <v>536</v>
      </c>
      <c r="B98" t="s">
        <v>34</v>
      </c>
      <c r="C98" t="s">
        <v>35</v>
      </c>
      <c r="D98" t="s">
        <v>158</v>
      </c>
      <c r="E98" t="s">
        <v>37</v>
      </c>
      <c r="F98" t="s">
        <v>138</v>
      </c>
      <c r="G98" t="s">
        <v>203</v>
      </c>
      <c r="H98" t="s">
        <v>204</v>
      </c>
      <c r="I98" t="s">
        <v>204</v>
      </c>
      <c r="J98" t="s">
        <v>537</v>
      </c>
      <c r="K98" s="2">
        <v>3.8</v>
      </c>
      <c r="L98" s="3">
        <v>202372.95</v>
      </c>
      <c r="M98" t="s">
        <v>142</v>
      </c>
      <c r="N98" t="s">
        <v>174</v>
      </c>
      <c r="O98" t="s">
        <v>535</v>
      </c>
      <c r="P98" t="str">
        <f t="shared" si="3"/>
        <v>2025-09</v>
      </c>
      <c r="Q98">
        <f>IF(tblWO[[#This Row],[Status]]="Completed",1,
IF(tblWO[[#This Row],[Status]]="In Progress",2,
IF(tblWO[[#This Row],[Status]]="Planned",3,
IF(tblWO[[#This Row],[Status]]="Cancelled",4,99))))</f>
        <v>1</v>
      </c>
      <c r="R98">
        <f t="shared" si="4"/>
        <v>1</v>
      </c>
      <c r="S98" s="6" t="str">
        <f t="shared" si="5"/>
        <v>2025-09</v>
      </c>
    </row>
    <row r="99" spans="1:19">
      <c r="A99" t="s">
        <v>538</v>
      </c>
      <c r="B99" t="s">
        <v>34</v>
      </c>
      <c r="C99" t="s">
        <v>35</v>
      </c>
      <c r="D99" t="s">
        <v>146</v>
      </c>
      <c r="E99" t="s">
        <v>45</v>
      </c>
      <c r="F99" t="s">
        <v>138</v>
      </c>
      <c r="G99" t="s">
        <v>539</v>
      </c>
      <c r="H99" t="s">
        <v>540</v>
      </c>
      <c r="I99" t="s">
        <v>540</v>
      </c>
      <c r="J99" t="s">
        <v>541</v>
      </c>
      <c r="K99" s="2">
        <v>9.1</v>
      </c>
      <c r="L99" s="3">
        <v>202130.68</v>
      </c>
      <c r="M99" t="s">
        <v>308</v>
      </c>
      <c r="N99" t="s">
        <v>162</v>
      </c>
      <c r="O99" t="s">
        <v>526</v>
      </c>
      <c r="P99" t="str">
        <f t="shared" si="3"/>
        <v>2025-09</v>
      </c>
      <c r="Q99">
        <f>IF(tblWO[[#This Row],[Status]]="Completed",1,
IF(tblWO[[#This Row],[Status]]="In Progress",2,
IF(tblWO[[#This Row],[Status]]="Planned",3,
IF(tblWO[[#This Row],[Status]]="Cancelled",4,99))))</f>
        <v>1</v>
      </c>
      <c r="R99">
        <f t="shared" si="4"/>
        <v>3</v>
      </c>
      <c r="S99" s="6" t="str">
        <f t="shared" si="5"/>
        <v>2025-09</v>
      </c>
    </row>
    <row r="100" spans="1:19">
      <c r="A100" t="s">
        <v>542</v>
      </c>
      <c r="B100" t="s">
        <v>34</v>
      </c>
      <c r="C100" t="s">
        <v>35</v>
      </c>
      <c r="D100" t="s">
        <v>137</v>
      </c>
      <c r="E100" t="s">
        <v>37</v>
      </c>
      <c r="F100" t="s">
        <v>138</v>
      </c>
      <c r="G100" t="s">
        <v>543</v>
      </c>
      <c r="H100" t="s">
        <v>544</v>
      </c>
      <c r="I100" t="s">
        <v>544</v>
      </c>
      <c r="J100" t="s">
        <v>545</v>
      </c>
      <c r="K100" s="2">
        <v>2.2999999999999998</v>
      </c>
      <c r="L100" s="3">
        <v>47645.25</v>
      </c>
      <c r="M100" t="s">
        <v>142</v>
      </c>
      <c r="N100" t="s">
        <v>239</v>
      </c>
      <c r="O100" t="s">
        <v>546</v>
      </c>
      <c r="P100" t="str">
        <f t="shared" si="3"/>
        <v>2025-08</v>
      </c>
      <c r="Q100">
        <f>IF(tblWO[[#This Row],[Status]]="Completed",1,
IF(tblWO[[#This Row],[Status]]="In Progress",2,
IF(tblWO[[#This Row],[Status]]="Planned",3,
IF(tblWO[[#This Row],[Status]]="Cancelled",4,99))))</f>
        <v>1</v>
      </c>
      <c r="R100">
        <f t="shared" si="4"/>
        <v>2</v>
      </c>
      <c r="S100" s="6" t="str">
        <f t="shared" si="5"/>
        <v>2025-08</v>
      </c>
    </row>
    <row r="101" spans="1:19">
      <c r="A101" t="s">
        <v>547</v>
      </c>
      <c r="B101" t="s">
        <v>34</v>
      </c>
      <c r="C101" t="s">
        <v>35</v>
      </c>
      <c r="D101" t="s">
        <v>146</v>
      </c>
      <c r="E101" t="s">
        <v>37</v>
      </c>
      <c r="F101" t="s">
        <v>138</v>
      </c>
      <c r="G101" t="s">
        <v>153</v>
      </c>
      <c r="H101" t="s">
        <v>154</v>
      </c>
      <c r="I101" t="s">
        <v>154</v>
      </c>
      <c r="J101" t="s">
        <v>548</v>
      </c>
      <c r="K101" s="2">
        <v>11.7</v>
      </c>
      <c r="L101" s="3">
        <v>293283.21999999997</v>
      </c>
      <c r="M101" t="s">
        <v>213</v>
      </c>
      <c r="N101" t="s">
        <v>150</v>
      </c>
      <c r="O101" t="s">
        <v>526</v>
      </c>
      <c r="P101" t="str">
        <f t="shared" si="3"/>
        <v>2025-12</v>
      </c>
      <c r="Q101">
        <f>IF(tblWO[[#This Row],[Status]]="Completed",1,
IF(tblWO[[#This Row],[Status]]="In Progress",2,
IF(tblWO[[#This Row],[Status]]="Planned",3,
IF(tblWO[[#This Row],[Status]]="Cancelled",4,99))))</f>
        <v>1</v>
      </c>
      <c r="R101">
        <f t="shared" si="4"/>
        <v>3</v>
      </c>
      <c r="S101" s="6" t="str">
        <f t="shared" si="5"/>
        <v>2025-12</v>
      </c>
    </row>
    <row r="102" spans="1:19">
      <c r="A102" t="s">
        <v>549</v>
      </c>
      <c r="B102" t="s">
        <v>34</v>
      </c>
      <c r="C102" t="s">
        <v>35</v>
      </c>
      <c r="D102" t="s">
        <v>158</v>
      </c>
      <c r="E102" t="s">
        <v>37</v>
      </c>
      <c r="F102" t="s">
        <v>271</v>
      </c>
      <c r="G102" t="s">
        <v>550</v>
      </c>
      <c r="H102" t="s">
        <v>551</v>
      </c>
      <c r="K102" s="2">
        <v>0</v>
      </c>
      <c r="L102" s="3">
        <v>0</v>
      </c>
      <c r="N102" t="s">
        <v>174</v>
      </c>
      <c r="O102" t="s">
        <v>535</v>
      </c>
      <c r="P102" t="str">
        <f t="shared" si="3"/>
        <v>2025-06</v>
      </c>
      <c r="Q102">
        <f>IF(tblWO[[#This Row],[Status]]="Completed",1,
IF(tblWO[[#This Row],[Status]]="In Progress",2,
IF(tblWO[[#This Row],[Status]]="Planned",3,
IF(tblWO[[#This Row],[Status]]="Cancelled",4,99))))</f>
        <v>4</v>
      </c>
      <c r="R102">
        <f t="shared" si="4"/>
        <v>1</v>
      </c>
      <c r="S102" s="6" t="str">
        <f t="shared" si="5"/>
        <v>2025-06</v>
      </c>
    </row>
    <row r="103" spans="1:19">
      <c r="A103" t="s">
        <v>552</v>
      </c>
      <c r="B103" t="s">
        <v>34</v>
      </c>
      <c r="C103" t="s">
        <v>35</v>
      </c>
      <c r="D103" t="s">
        <v>158</v>
      </c>
      <c r="E103" t="s">
        <v>32</v>
      </c>
      <c r="F103" t="s">
        <v>138</v>
      </c>
      <c r="G103" t="s">
        <v>553</v>
      </c>
      <c r="H103" t="s">
        <v>554</v>
      </c>
      <c r="I103" t="s">
        <v>554</v>
      </c>
      <c r="J103" t="s">
        <v>555</v>
      </c>
      <c r="K103" s="2">
        <v>11.1</v>
      </c>
      <c r="L103" s="3">
        <v>236293.04</v>
      </c>
      <c r="M103" t="s">
        <v>142</v>
      </c>
      <c r="N103" t="s">
        <v>239</v>
      </c>
      <c r="O103" t="s">
        <v>535</v>
      </c>
      <c r="P103" t="str">
        <f t="shared" si="3"/>
        <v>2025-10</v>
      </c>
      <c r="Q103">
        <f>IF(tblWO[[#This Row],[Status]]="Completed",1,
IF(tblWO[[#This Row],[Status]]="In Progress",2,
IF(tblWO[[#This Row],[Status]]="Planned",3,
IF(tblWO[[#This Row],[Status]]="Cancelled",4,99))))</f>
        <v>1</v>
      </c>
      <c r="R103">
        <f t="shared" si="4"/>
        <v>1</v>
      </c>
      <c r="S103" s="6" t="str">
        <f t="shared" si="5"/>
        <v>2025-10</v>
      </c>
    </row>
    <row r="104" spans="1:19">
      <c r="A104" t="s">
        <v>556</v>
      </c>
      <c r="B104" t="s">
        <v>34</v>
      </c>
      <c r="C104" t="s">
        <v>35</v>
      </c>
      <c r="D104" t="s">
        <v>169</v>
      </c>
      <c r="E104" t="s">
        <v>37</v>
      </c>
      <c r="F104" t="s">
        <v>138</v>
      </c>
      <c r="G104" t="s">
        <v>369</v>
      </c>
      <c r="H104" t="s">
        <v>370</v>
      </c>
      <c r="I104" t="s">
        <v>370</v>
      </c>
      <c r="J104" t="s">
        <v>557</v>
      </c>
      <c r="K104" s="2">
        <v>18</v>
      </c>
      <c r="L104" s="3">
        <v>653346.39</v>
      </c>
      <c r="M104" t="s">
        <v>308</v>
      </c>
      <c r="N104" t="s">
        <v>143</v>
      </c>
      <c r="O104" t="s">
        <v>558</v>
      </c>
      <c r="P104" t="str">
        <f t="shared" si="3"/>
        <v>2025-10</v>
      </c>
      <c r="Q104">
        <f>IF(tblWO[[#This Row],[Status]]="Completed",1,
IF(tblWO[[#This Row],[Status]]="In Progress",2,
IF(tblWO[[#This Row],[Status]]="Planned",3,
IF(tblWO[[#This Row],[Status]]="Cancelled",4,99))))</f>
        <v>1</v>
      </c>
      <c r="R104">
        <f t="shared" si="4"/>
        <v>4</v>
      </c>
      <c r="S104" s="6" t="str">
        <f t="shared" si="5"/>
        <v>2025-10</v>
      </c>
    </row>
    <row r="105" spans="1:19">
      <c r="A105" t="s">
        <v>559</v>
      </c>
      <c r="B105" t="s">
        <v>34</v>
      </c>
      <c r="C105" t="s">
        <v>35</v>
      </c>
      <c r="D105" t="s">
        <v>146</v>
      </c>
      <c r="E105" t="s">
        <v>10</v>
      </c>
      <c r="F105" t="s">
        <v>138</v>
      </c>
      <c r="G105" t="s">
        <v>560</v>
      </c>
      <c r="H105" t="s">
        <v>561</v>
      </c>
      <c r="I105" t="s">
        <v>561</v>
      </c>
      <c r="J105" t="s">
        <v>562</v>
      </c>
      <c r="K105" s="2">
        <v>11.3</v>
      </c>
      <c r="L105" s="3">
        <v>152564.72</v>
      </c>
      <c r="M105" t="s">
        <v>563</v>
      </c>
      <c r="N105" t="s">
        <v>239</v>
      </c>
      <c r="O105" t="s">
        <v>526</v>
      </c>
      <c r="P105" t="str">
        <f t="shared" si="3"/>
        <v>2025-11</v>
      </c>
      <c r="Q105">
        <f>IF(tblWO[[#This Row],[Status]]="Completed",1,
IF(tblWO[[#This Row],[Status]]="In Progress",2,
IF(tblWO[[#This Row],[Status]]="Planned",3,
IF(tblWO[[#This Row],[Status]]="Cancelled",4,99))))</f>
        <v>1</v>
      </c>
      <c r="R105">
        <f t="shared" si="4"/>
        <v>3</v>
      </c>
      <c r="S105" s="6" t="str">
        <f t="shared" si="5"/>
        <v>2025-11</v>
      </c>
    </row>
    <row r="106" spans="1:19">
      <c r="A106" t="s">
        <v>564</v>
      </c>
      <c r="B106" t="s">
        <v>34</v>
      </c>
      <c r="C106" t="s">
        <v>35</v>
      </c>
      <c r="D106" t="s">
        <v>158</v>
      </c>
      <c r="E106" t="s">
        <v>45</v>
      </c>
      <c r="F106" t="s">
        <v>138</v>
      </c>
      <c r="G106" t="s">
        <v>565</v>
      </c>
      <c r="H106" t="s">
        <v>566</v>
      </c>
      <c r="I106" t="s">
        <v>566</v>
      </c>
      <c r="J106" t="s">
        <v>567</v>
      </c>
      <c r="K106" s="2">
        <v>11.7</v>
      </c>
      <c r="L106" s="3">
        <v>182713.09</v>
      </c>
      <c r="M106" t="s">
        <v>142</v>
      </c>
      <c r="N106" t="s">
        <v>239</v>
      </c>
      <c r="O106" t="s">
        <v>535</v>
      </c>
      <c r="P106" t="str">
        <f t="shared" si="3"/>
        <v>2025-07</v>
      </c>
      <c r="Q106">
        <f>IF(tblWO[[#This Row],[Status]]="Completed",1,
IF(tblWO[[#This Row],[Status]]="In Progress",2,
IF(tblWO[[#This Row],[Status]]="Planned",3,
IF(tblWO[[#This Row],[Status]]="Cancelled",4,99))))</f>
        <v>1</v>
      </c>
      <c r="R106">
        <f t="shared" si="4"/>
        <v>1</v>
      </c>
      <c r="S106" s="6" t="str">
        <f t="shared" si="5"/>
        <v>2025-07</v>
      </c>
    </row>
    <row r="107" spans="1:19">
      <c r="A107" t="s">
        <v>568</v>
      </c>
      <c r="B107" t="s">
        <v>34</v>
      </c>
      <c r="C107" t="s">
        <v>35</v>
      </c>
      <c r="D107" t="s">
        <v>169</v>
      </c>
      <c r="E107" t="s">
        <v>32</v>
      </c>
      <c r="F107" t="s">
        <v>138</v>
      </c>
      <c r="G107" t="s">
        <v>569</v>
      </c>
      <c r="H107" t="s">
        <v>570</v>
      </c>
      <c r="I107" t="s">
        <v>570</v>
      </c>
      <c r="J107" t="s">
        <v>571</v>
      </c>
      <c r="K107" s="2">
        <v>40.200000000000003</v>
      </c>
      <c r="L107" s="3">
        <v>480998.83</v>
      </c>
      <c r="M107" t="s">
        <v>291</v>
      </c>
      <c r="N107" t="s">
        <v>185</v>
      </c>
      <c r="O107" t="s">
        <v>558</v>
      </c>
      <c r="P107" t="str">
        <f t="shared" si="3"/>
        <v>2025-08</v>
      </c>
      <c r="Q107">
        <f>IF(tblWO[[#This Row],[Status]]="Completed",1,
IF(tblWO[[#This Row],[Status]]="In Progress",2,
IF(tblWO[[#This Row],[Status]]="Planned",3,
IF(tblWO[[#This Row],[Status]]="Cancelled",4,99))))</f>
        <v>1</v>
      </c>
      <c r="R107">
        <f t="shared" si="4"/>
        <v>4</v>
      </c>
      <c r="S107" s="6" t="str">
        <f t="shared" si="5"/>
        <v>2025-08</v>
      </c>
    </row>
    <row r="108" spans="1:19">
      <c r="A108" t="s">
        <v>572</v>
      </c>
      <c r="B108" t="s">
        <v>34</v>
      </c>
      <c r="C108" t="s">
        <v>35</v>
      </c>
      <c r="D108" t="s">
        <v>158</v>
      </c>
      <c r="E108" t="s">
        <v>32</v>
      </c>
      <c r="F108" t="s">
        <v>138</v>
      </c>
      <c r="G108" t="s">
        <v>159</v>
      </c>
      <c r="H108" t="s">
        <v>160</v>
      </c>
      <c r="I108" t="s">
        <v>160</v>
      </c>
      <c r="J108" t="s">
        <v>573</v>
      </c>
      <c r="K108" s="2">
        <v>11.7</v>
      </c>
      <c r="L108" s="3">
        <v>251146.91</v>
      </c>
      <c r="M108" t="s">
        <v>142</v>
      </c>
      <c r="N108" t="s">
        <v>342</v>
      </c>
      <c r="O108" t="s">
        <v>535</v>
      </c>
      <c r="P108" t="str">
        <f t="shared" si="3"/>
        <v>2025-04</v>
      </c>
      <c r="Q108">
        <f>IF(tblWO[[#This Row],[Status]]="Completed",1,
IF(tblWO[[#This Row],[Status]]="In Progress",2,
IF(tblWO[[#This Row],[Status]]="Planned",3,
IF(tblWO[[#This Row],[Status]]="Cancelled",4,99))))</f>
        <v>1</v>
      </c>
      <c r="R108">
        <f t="shared" si="4"/>
        <v>1</v>
      </c>
      <c r="S108" s="6" t="str">
        <f t="shared" si="5"/>
        <v>2025-04</v>
      </c>
    </row>
    <row r="109" spans="1:19">
      <c r="A109" t="s">
        <v>574</v>
      </c>
      <c r="B109" t="s">
        <v>34</v>
      </c>
      <c r="C109" t="s">
        <v>35</v>
      </c>
      <c r="D109" t="s">
        <v>158</v>
      </c>
      <c r="E109" t="s">
        <v>45</v>
      </c>
      <c r="F109" t="s">
        <v>138</v>
      </c>
      <c r="G109" t="s">
        <v>575</v>
      </c>
      <c r="H109" t="s">
        <v>576</v>
      </c>
      <c r="I109" t="s">
        <v>576</v>
      </c>
      <c r="J109" t="s">
        <v>577</v>
      </c>
      <c r="K109" s="2">
        <v>8.6999999999999993</v>
      </c>
      <c r="L109" s="3">
        <v>218085.2</v>
      </c>
      <c r="M109" t="s">
        <v>142</v>
      </c>
      <c r="N109" t="s">
        <v>174</v>
      </c>
      <c r="O109" t="s">
        <v>535</v>
      </c>
      <c r="P109" t="str">
        <f t="shared" si="3"/>
        <v>2025-07</v>
      </c>
      <c r="Q109">
        <f>IF(tblWO[[#This Row],[Status]]="Completed",1,
IF(tblWO[[#This Row],[Status]]="In Progress",2,
IF(tblWO[[#This Row],[Status]]="Planned",3,
IF(tblWO[[#This Row],[Status]]="Cancelled",4,99))))</f>
        <v>1</v>
      </c>
      <c r="R109">
        <f t="shared" si="4"/>
        <v>1</v>
      </c>
      <c r="S109" s="6" t="str">
        <f t="shared" si="5"/>
        <v>2025-07</v>
      </c>
    </row>
    <row r="110" spans="1:19">
      <c r="A110" t="s">
        <v>578</v>
      </c>
      <c r="B110" t="s">
        <v>34</v>
      </c>
      <c r="C110" t="s">
        <v>35</v>
      </c>
      <c r="D110" t="s">
        <v>169</v>
      </c>
      <c r="E110" t="s">
        <v>45</v>
      </c>
      <c r="F110" t="s">
        <v>138</v>
      </c>
      <c r="G110" t="s">
        <v>579</v>
      </c>
      <c r="H110" t="s">
        <v>580</v>
      </c>
      <c r="I110" t="s">
        <v>580</v>
      </c>
      <c r="J110" t="s">
        <v>581</v>
      </c>
      <c r="K110" s="2">
        <v>45.7</v>
      </c>
      <c r="L110" s="3">
        <v>396803.77</v>
      </c>
      <c r="M110" t="s">
        <v>249</v>
      </c>
      <c r="N110" t="s">
        <v>150</v>
      </c>
      <c r="O110" t="s">
        <v>558</v>
      </c>
      <c r="P110" t="str">
        <f t="shared" si="3"/>
        <v>2025-02</v>
      </c>
      <c r="Q110">
        <f>IF(tblWO[[#This Row],[Status]]="Completed",1,
IF(tblWO[[#This Row],[Status]]="In Progress",2,
IF(tblWO[[#This Row],[Status]]="Planned",3,
IF(tblWO[[#This Row],[Status]]="Cancelled",4,99))))</f>
        <v>1</v>
      </c>
      <c r="R110">
        <f t="shared" si="4"/>
        <v>4</v>
      </c>
      <c r="S110" s="6" t="str">
        <f t="shared" si="5"/>
        <v>2025-02</v>
      </c>
    </row>
    <row r="111" spans="1:19">
      <c r="A111" t="s">
        <v>582</v>
      </c>
      <c r="B111" t="s">
        <v>39</v>
      </c>
      <c r="C111" t="s">
        <v>40</v>
      </c>
      <c r="D111" t="s">
        <v>158</v>
      </c>
      <c r="E111" t="s">
        <v>45</v>
      </c>
      <c r="F111" t="s">
        <v>138</v>
      </c>
      <c r="G111" t="s">
        <v>583</v>
      </c>
      <c r="H111" t="s">
        <v>584</v>
      </c>
      <c r="I111" t="s">
        <v>584</v>
      </c>
      <c r="J111" t="s">
        <v>585</v>
      </c>
      <c r="K111" s="2">
        <v>3.4</v>
      </c>
      <c r="L111" s="3">
        <v>286565.38</v>
      </c>
      <c r="M111" t="s">
        <v>142</v>
      </c>
      <c r="N111" t="s">
        <v>239</v>
      </c>
      <c r="O111" t="s">
        <v>586</v>
      </c>
      <c r="P111" t="str">
        <f t="shared" si="3"/>
        <v>2025-08</v>
      </c>
      <c r="Q111">
        <f>IF(tblWO[[#This Row],[Status]]="Completed",1,
IF(tblWO[[#This Row],[Status]]="In Progress",2,
IF(tblWO[[#This Row],[Status]]="Planned",3,
IF(tblWO[[#This Row],[Status]]="Cancelled",4,99))))</f>
        <v>1</v>
      </c>
      <c r="R111">
        <f t="shared" si="4"/>
        <v>1</v>
      </c>
      <c r="S111" s="6" t="str">
        <f t="shared" si="5"/>
        <v>2025-08</v>
      </c>
    </row>
    <row r="112" spans="1:19">
      <c r="A112" t="s">
        <v>587</v>
      </c>
      <c r="B112" t="s">
        <v>39</v>
      </c>
      <c r="C112" t="s">
        <v>40</v>
      </c>
      <c r="D112" t="s">
        <v>463</v>
      </c>
      <c r="E112" t="s">
        <v>10</v>
      </c>
      <c r="F112" t="s">
        <v>147</v>
      </c>
      <c r="G112" t="s">
        <v>588</v>
      </c>
      <c r="H112" t="s">
        <v>589</v>
      </c>
      <c r="K112" s="2">
        <v>0</v>
      </c>
      <c r="L112" s="3">
        <v>0</v>
      </c>
      <c r="N112" t="s">
        <v>156</v>
      </c>
      <c r="O112" t="s">
        <v>590</v>
      </c>
      <c r="P112" t="str">
        <f t="shared" si="3"/>
        <v>2025-02</v>
      </c>
      <c r="Q112">
        <f>IF(tblWO[[#This Row],[Status]]="Completed",1,
IF(tblWO[[#This Row],[Status]]="In Progress",2,
IF(tblWO[[#This Row],[Status]]="Planned",3,
IF(tblWO[[#This Row],[Status]]="Cancelled",4,99))))</f>
        <v>2</v>
      </c>
      <c r="R112">
        <f t="shared" si="4"/>
        <v>5</v>
      </c>
      <c r="S112" s="6" t="str">
        <f t="shared" si="5"/>
        <v>2025-02</v>
      </c>
    </row>
    <row r="113" spans="1:19">
      <c r="A113" t="s">
        <v>591</v>
      </c>
      <c r="B113" t="s">
        <v>39</v>
      </c>
      <c r="C113" t="s">
        <v>40</v>
      </c>
      <c r="D113" t="s">
        <v>158</v>
      </c>
      <c r="E113" t="s">
        <v>45</v>
      </c>
      <c r="F113" t="s">
        <v>138</v>
      </c>
      <c r="G113" t="s">
        <v>592</v>
      </c>
      <c r="H113" t="s">
        <v>593</v>
      </c>
      <c r="I113" t="s">
        <v>593</v>
      </c>
      <c r="J113" t="s">
        <v>594</v>
      </c>
      <c r="K113" s="2">
        <v>3.5</v>
      </c>
      <c r="L113" s="3">
        <v>153721.13</v>
      </c>
      <c r="M113" t="s">
        <v>142</v>
      </c>
      <c r="N113" t="s">
        <v>185</v>
      </c>
      <c r="O113" t="s">
        <v>586</v>
      </c>
      <c r="P113" t="str">
        <f t="shared" si="3"/>
        <v>2025-12</v>
      </c>
      <c r="Q113">
        <f>IF(tblWO[[#This Row],[Status]]="Completed",1,
IF(tblWO[[#This Row],[Status]]="In Progress",2,
IF(tblWO[[#This Row],[Status]]="Planned",3,
IF(tblWO[[#This Row],[Status]]="Cancelled",4,99))))</f>
        <v>1</v>
      </c>
      <c r="R113">
        <f t="shared" si="4"/>
        <v>1</v>
      </c>
      <c r="S113" s="6" t="str">
        <f t="shared" si="5"/>
        <v>2025-12</v>
      </c>
    </row>
    <row r="114" spans="1:19">
      <c r="A114" t="s">
        <v>595</v>
      </c>
      <c r="B114" t="s">
        <v>39</v>
      </c>
      <c r="C114" t="s">
        <v>40</v>
      </c>
      <c r="D114" t="s">
        <v>169</v>
      </c>
      <c r="E114" t="s">
        <v>45</v>
      </c>
      <c r="F114" t="s">
        <v>138</v>
      </c>
      <c r="G114" t="s">
        <v>596</v>
      </c>
      <c r="H114" t="s">
        <v>597</v>
      </c>
      <c r="I114" t="s">
        <v>597</v>
      </c>
      <c r="J114" t="s">
        <v>598</v>
      </c>
      <c r="K114" s="2">
        <v>16.7</v>
      </c>
      <c r="L114" s="3">
        <v>466817.52</v>
      </c>
      <c r="M114" t="s">
        <v>173</v>
      </c>
      <c r="N114" t="s">
        <v>150</v>
      </c>
      <c r="O114" t="s">
        <v>599</v>
      </c>
      <c r="P114" t="str">
        <f t="shared" si="3"/>
        <v>2025-07</v>
      </c>
      <c r="Q114">
        <f>IF(tblWO[[#This Row],[Status]]="Completed",1,
IF(tblWO[[#This Row],[Status]]="In Progress",2,
IF(tblWO[[#This Row],[Status]]="Planned",3,
IF(tblWO[[#This Row],[Status]]="Cancelled",4,99))))</f>
        <v>1</v>
      </c>
      <c r="R114">
        <f t="shared" si="4"/>
        <v>4</v>
      </c>
      <c r="S114" s="6" t="str">
        <f t="shared" si="5"/>
        <v>2025-07</v>
      </c>
    </row>
    <row r="115" spans="1:19">
      <c r="A115" t="s">
        <v>600</v>
      </c>
      <c r="B115" t="s">
        <v>39</v>
      </c>
      <c r="C115" t="s">
        <v>40</v>
      </c>
      <c r="D115" t="s">
        <v>137</v>
      </c>
      <c r="E115" t="s">
        <v>32</v>
      </c>
      <c r="F115" t="s">
        <v>138</v>
      </c>
      <c r="G115" t="s">
        <v>440</v>
      </c>
      <c r="H115" t="s">
        <v>441</v>
      </c>
      <c r="I115" t="s">
        <v>441</v>
      </c>
      <c r="J115" t="s">
        <v>601</v>
      </c>
      <c r="K115" s="2">
        <v>2.9</v>
      </c>
      <c r="L115" s="3">
        <v>24844.01</v>
      </c>
      <c r="M115" t="s">
        <v>142</v>
      </c>
      <c r="N115" t="s">
        <v>239</v>
      </c>
      <c r="O115" t="s">
        <v>602</v>
      </c>
      <c r="P115" t="str">
        <f t="shared" si="3"/>
        <v>2025-02</v>
      </c>
      <c r="Q115">
        <f>IF(tblWO[[#This Row],[Status]]="Completed",1,
IF(tblWO[[#This Row],[Status]]="In Progress",2,
IF(tblWO[[#This Row],[Status]]="Planned",3,
IF(tblWO[[#This Row],[Status]]="Cancelled",4,99))))</f>
        <v>1</v>
      </c>
      <c r="R115">
        <f t="shared" si="4"/>
        <v>2</v>
      </c>
      <c r="S115" s="6" t="str">
        <f t="shared" si="5"/>
        <v>2025-02</v>
      </c>
    </row>
    <row r="116" spans="1:19">
      <c r="A116" t="s">
        <v>603</v>
      </c>
      <c r="B116" t="s">
        <v>39</v>
      </c>
      <c r="C116" t="s">
        <v>40</v>
      </c>
      <c r="D116" t="s">
        <v>158</v>
      </c>
      <c r="E116" t="s">
        <v>10</v>
      </c>
      <c r="F116" t="s">
        <v>138</v>
      </c>
      <c r="G116" t="s">
        <v>318</v>
      </c>
      <c r="H116" t="s">
        <v>319</v>
      </c>
      <c r="I116" t="s">
        <v>319</v>
      </c>
      <c r="J116" t="s">
        <v>604</v>
      </c>
      <c r="K116" s="2">
        <v>4.0999999999999996</v>
      </c>
      <c r="L116" s="3">
        <v>209873.23</v>
      </c>
      <c r="M116" t="s">
        <v>142</v>
      </c>
      <c r="N116" t="s">
        <v>162</v>
      </c>
      <c r="O116" t="s">
        <v>586</v>
      </c>
      <c r="P116" t="str">
        <f t="shared" si="3"/>
        <v>2025-02</v>
      </c>
      <c r="Q116">
        <f>IF(tblWO[[#This Row],[Status]]="Completed",1,
IF(tblWO[[#This Row],[Status]]="In Progress",2,
IF(tblWO[[#This Row],[Status]]="Planned",3,
IF(tblWO[[#This Row],[Status]]="Cancelled",4,99))))</f>
        <v>1</v>
      </c>
      <c r="R116">
        <f t="shared" si="4"/>
        <v>1</v>
      </c>
      <c r="S116" s="6" t="str">
        <f t="shared" si="5"/>
        <v>2025-02</v>
      </c>
    </row>
    <row r="117" spans="1:19">
      <c r="A117" t="s">
        <v>605</v>
      </c>
      <c r="B117" t="s">
        <v>39</v>
      </c>
      <c r="C117" t="s">
        <v>40</v>
      </c>
      <c r="D117" t="s">
        <v>158</v>
      </c>
      <c r="E117" t="s">
        <v>45</v>
      </c>
      <c r="F117" t="s">
        <v>138</v>
      </c>
      <c r="G117" t="s">
        <v>260</v>
      </c>
      <c r="H117" t="s">
        <v>261</v>
      </c>
      <c r="I117" t="s">
        <v>261</v>
      </c>
      <c r="J117" t="s">
        <v>606</v>
      </c>
      <c r="K117" s="2">
        <v>2.7</v>
      </c>
      <c r="L117" s="3">
        <v>241289.34</v>
      </c>
      <c r="M117" t="s">
        <v>142</v>
      </c>
      <c r="N117" t="s">
        <v>150</v>
      </c>
      <c r="O117" t="s">
        <v>586</v>
      </c>
      <c r="P117" t="str">
        <f t="shared" si="3"/>
        <v>2025-06</v>
      </c>
      <c r="Q117">
        <f>IF(tblWO[[#This Row],[Status]]="Completed",1,
IF(tblWO[[#This Row],[Status]]="In Progress",2,
IF(tblWO[[#This Row],[Status]]="Planned",3,
IF(tblWO[[#This Row],[Status]]="Cancelled",4,99))))</f>
        <v>1</v>
      </c>
      <c r="R117">
        <f t="shared" si="4"/>
        <v>1</v>
      </c>
      <c r="S117" s="6" t="str">
        <f t="shared" si="5"/>
        <v>2025-06</v>
      </c>
    </row>
    <row r="118" spans="1:19">
      <c r="A118" t="s">
        <v>607</v>
      </c>
      <c r="B118" t="s">
        <v>39</v>
      </c>
      <c r="C118" t="s">
        <v>40</v>
      </c>
      <c r="D118" t="s">
        <v>146</v>
      </c>
      <c r="E118" t="s">
        <v>45</v>
      </c>
      <c r="F118" t="s">
        <v>138</v>
      </c>
      <c r="G118" t="s">
        <v>608</v>
      </c>
      <c r="H118" t="s">
        <v>609</v>
      </c>
      <c r="I118" t="s">
        <v>609</v>
      </c>
      <c r="J118" t="s">
        <v>610</v>
      </c>
      <c r="K118" s="2">
        <v>9.5</v>
      </c>
      <c r="L118" s="3">
        <v>493611.25</v>
      </c>
      <c r="M118" t="s">
        <v>308</v>
      </c>
      <c r="N118" t="s">
        <v>143</v>
      </c>
      <c r="O118" t="s">
        <v>611</v>
      </c>
      <c r="P118" t="str">
        <f t="shared" si="3"/>
        <v>2025-06</v>
      </c>
      <c r="Q118">
        <f>IF(tblWO[[#This Row],[Status]]="Completed",1,
IF(tblWO[[#This Row],[Status]]="In Progress",2,
IF(tblWO[[#This Row],[Status]]="Planned",3,
IF(tblWO[[#This Row],[Status]]="Cancelled",4,99))))</f>
        <v>1</v>
      </c>
      <c r="R118">
        <f t="shared" si="4"/>
        <v>3</v>
      </c>
      <c r="S118" s="6" t="str">
        <f t="shared" si="5"/>
        <v>2025-06</v>
      </c>
    </row>
    <row r="119" spans="1:19">
      <c r="A119" t="s">
        <v>612</v>
      </c>
      <c r="B119" t="s">
        <v>39</v>
      </c>
      <c r="C119" t="s">
        <v>40</v>
      </c>
      <c r="D119" t="s">
        <v>146</v>
      </c>
      <c r="E119" t="s">
        <v>10</v>
      </c>
      <c r="F119" t="s">
        <v>138</v>
      </c>
      <c r="G119" t="s">
        <v>613</v>
      </c>
      <c r="H119" t="s">
        <v>614</v>
      </c>
      <c r="I119" t="s">
        <v>614</v>
      </c>
      <c r="J119" t="s">
        <v>615</v>
      </c>
      <c r="K119" s="2">
        <v>19.8</v>
      </c>
      <c r="L119" s="3">
        <v>195172.64</v>
      </c>
      <c r="M119" t="s">
        <v>234</v>
      </c>
      <c r="N119" t="s">
        <v>342</v>
      </c>
      <c r="O119" t="s">
        <v>611</v>
      </c>
      <c r="P119" t="str">
        <f t="shared" si="3"/>
        <v>2025-02</v>
      </c>
      <c r="Q119">
        <f>IF(tblWO[[#This Row],[Status]]="Completed",1,
IF(tblWO[[#This Row],[Status]]="In Progress",2,
IF(tblWO[[#This Row],[Status]]="Planned",3,
IF(tblWO[[#This Row],[Status]]="Cancelled",4,99))))</f>
        <v>1</v>
      </c>
      <c r="R119">
        <f t="shared" si="4"/>
        <v>3</v>
      </c>
      <c r="S119" s="6" t="str">
        <f t="shared" si="5"/>
        <v>2025-02</v>
      </c>
    </row>
    <row r="120" spans="1:19">
      <c r="A120" t="s">
        <v>616</v>
      </c>
      <c r="B120" t="s">
        <v>39</v>
      </c>
      <c r="C120" t="s">
        <v>40</v>
      </c>
      <c r="D120" t="s">
        <v>158</v>
      </c>
      <c r="E120" t="s">
        <v>45</v>
      </c>
      <c r="F120" t="s">
        <v>138</v>
      </c>
      <c r="G120" t="s">
        <v>617</v>
      </c>
      <c r="H120" t="s">
        <v>618</v>
      </c>
      <c r="I120" t="s">
        <v>618</v>
      </c>
      <c r="J120" t="s">
        <v>619</v>
      </c>
      <c r="K120" s="2">
        <v>9.5</v>
      </c>
      <c r="L120" s="3">
        <v>169061.49</v>
      </c>
      <c r="M120" t="s">
        <v>142</v>
      </c>
      <c r="N120" t="s">
        <v>342</v>
      </c>
      <c r="O120" t="s">
        <v>586</v>
      </c>
      <c r="P120" t="str">
        <f t="shared" si="3"/>
        <v>2025-05</v>
      </c>
      <c r="Q120">
        <f>IF(tblWO[[#This Row],[Status]]="Completed",1,
IF(tblWO[[#This Row],[Status]]="In Progress",2,
IF(tblWO[[#This Row],[Status]]="Planned",3,
IF(tblWO[[#This Row],[Status]]="Cancelled",4,99))))</f>
        <v>1</v>
      </c>
      <c r="R120">
        <f t="shared" si="4"/>
        <v>1</v>
      </c>
      <c r="S120" s="6" t="str">
        <f t="shared" si="5"/>
        <v>2025-05</v>
      </c>
    </row>
    <row r="121" spans="1:19">
      <c r="A121" t="s">
        <v>620</v>
      </c>
      <c r="B121" t="s">
        <v>39</v>
      </c>
      <c r="C121" t="s">
        <v>40</v>
      </c>
      <c r="D121" t="s">
        <v>146</v>
      </c>
      <c r="E121" t="s">
        <v>10</v>
      </c>
      <c r="F121" t="s">
        <v>202</v>
      </c>
      <c r="G121" t="s">
        <v>621</v>
      </c>
      <c r="H121" t="s">
        <v>622</v>
      </c>
      <c r="K121" s="2">
        <v>0</v>
      </c>
      <c r="L121" s="3">
        <v>0</v>
      </c>
      <c r="N121" t="s">
        <v>239</v>
      </c>
      <c r="O121" t="s">
        <v>611</v>
      </c>
      <c r="P121" t="str">
        <f t="shared" si="3"/>
        <v>2025-08</v>
      </c>
      <c r="Q121">
        <f>IF(tblWO[[#This Row],[Status]]="Completed",1,
IF(tblWO[[#This Row],[Status]]="In Progress",2,
IF(tblWO[[#This Row],[Status]]="Planned",3,
IF(tblWO[[#This Row],[Status]]="Cancelled",4,99))))</f>
        <v>3</v>
      </c>
      <c r="R121">
        <f t="shared" si="4"/>
        <v>3</v>
      </c>
      <c r="S121" s="6" t="str">
        <f t="shared" si="5"/>
        <v>2025-08</v>
      </c>
    </row>
    <row r="122" spans="1:19">
      <c r="A122" t="s">
        <v>623</v>
      </c>
      <c r="B122" t="s">
        <v>39</v>
      </c>
      <c r="C122" t="s">
        <v>40</v>
      </c>
      <c r="D122" t="s">
        <v>158</v>
      </c>
      <c r="E122" t="s">
        <v>45</v>
      </c>
      <c r="F122" t="s">
        <v>138</v>
      </c>
      <c r="G122" t="s">
        <v>624</v>
      </c>
      <c r="H122" t="s">
        <v>625</v>
      </c>
      <c r="I122" t="s">
        <v>625</v>
      </c>
      <c r="J122" t="s">
        <v>626</v>
      </c>
      <c r="K122" s="2">
        <v>8.9</v>
      </c>
      <c r="L122" s="3">
        <v>172567.21</v>
      </c>
      <c r="M122" t="s">
        <v>142</v>
      </c>
      <c r="N122" t="s">
        <v>156</v>
      </c>
      <c r="O122" t="s">
        <v>586</v>
      </c>
      <c r="P122" t="str">
        <f t="shared" si="3"/>
        <v>2025-01</v>
      </c>
      <c r="Q122">
        <f>IF(tblWO[[#This Row],[Status]]="Completed",1,
IF(tblWO[[#This Row],[Status]]="In Progress",2,
IF(tblWO[[#This Row],[Status]]="Planned",3,
IF(tblWO[[#This Row],[Status]]="Cancelled",4,99))))</f>
        <v>1</v>
      </c>
      <c r="R122">
        <f t="shared" si="4"/>
        <v>1</v>
      </c>
      <c r="S122" s="6" t="str">
        <f t="shared" si="5"/>
        <v>2025-01</v>
      </c>
    </row>
    <row r="123" spans="1:19">
      <c r="A123" t="s">
        <v>627</v>
      </c>
      <c r="B123" t="s">
        <v>39</v>
      </c>
      <c r="C123" t="s">
        <v>40</v>
      </c>
      <c r="D123" t="s">
        <v>158</v>
      </c>
      <c r="E123" t="s">
        <v>10</v>
      </c>
      <c r="F123" t="s">
        <v>138</v>
      </c>
      <c r="G123" t="s">
        <v>628</v>
      </c>
      <c r="H123" t="s">
        <v>629</v>
      </c>
      <c r="I123" t="s">
        <v>629</v>
      </c>
      <c r="J123" t="s">
        <v>630</v>
      </c>
      <c r="K123" s="2">
        <v>8.1999999999999993</v>
      </c>
      <c r="L123" s="3">
        <v>196341.17</v>
      </c>
      <c r="M123" t="s">
        <v>142</v>
      </c>
      <c r="N123" t="s">
        <v>342</v>
      </c>
      <c r="O123" t="s">
        <v>586</v>
      </c>
      <c r="P123" t="str">
        <f t="shared" si="3"/>
        <v>2025-02</v>
      </c>
      <c r="Q123">
        <f>IF(tblWO[[#This Row],[Status]]="Completed",1,
IF(tblWO[[#This Row],[Status]]="In Progress",2,
IF(tblWO[[#This Row],[Status]]="Planned",3,
IF(tblWO[[#This Row],[Status]]="Cancelled",4,99))))</f>
        <v>1</v>
      </c>
      <c r="R123">
        <f t="shared" si="4"/>
        <v>1</v>
      </c>
      <c r="S123" s="6" t="str">
        <f t="shared" si="5"/>
        <v>2025-02</v>
      </c>
    </row>
    <row r="124" spans="1:19">
      <c r="A124" t="s">
        <v>631</v>
      </c>
      <c r="B124" t="s">
        <v>39</v>
      </c>
      <c r="C124" t="s">
        <v>40</v>
      </c>
      <c r="D124" t="s">
        <v>158</v>
      </c>
      <c r="E124" t="s">
        <v>45</v>
      </c>
      <c r="F124" t="s">
        <v>138</v>
      </c>
      <c r="G124" t="s">
        <v>632</v>
      </c>
      <c r="H124" t="s">
        <v>633</v>
      </c>
      <c r="I124" t="s">
        <v>633</v>
      </c>
      <c r="J124" t="s">
        <v>634</v>
      </c>
      <c r="K124" s="2">
        <v>3</v>
      </c>
      <c r="L124" s="3">
        <v>225444.85</v>
      </c>
      <c r="M124" t="s">
        <v>142</v>
      </c>
      <c r="N124" t="s">
        <v>150</v>
      </c>
      <c r="O124" t="s">
        <v>586</v>
      </c>
      <c r="P124" t="str">
        <f t="shared" si="3"/>
        <v>2025-10</v>
      </c>
      <c r="Q124">
        <f>IF(tblWO[[#This Row],[Status]]="Completed",1,
IF(tblWO[[#This Row],[Status]]="In Progress",2,
IF(tblWO[[#This Row],[Status]]="Planned",3,
IF(tblWO[[#This Row],[Status]]="Cancelled",4,99))))</f>
        <v>1</v>
      </c>
      <c r="R124">
        <f t="shared" si="4"/>
        <v>1</v>
      </c>
      <c r="S124" s="6" t="str">
        <f t="shared" si="5"/>
        <v>2025-10</v>
      </c>
    </row>
    <row r="125" spans="1:19">
      <c r="A125" t="s">
        <v>635</v>
      </c>
      <c r="B125" t="s">
        <v>39</v>
      </c>
      <c r="C125" t="s">
        <v>40</v>
      </c>
      <c r="D125" t="s">
        <v>158</v>
      </c>
      <c r="E125" t="s">
        <v>37</v>
      </c>
      <c r="F125" t="s">
        <v>138</v>
      </c>
      <c r="G125" t="s">
        <v>267</v>
      </c>
      <c r="H125" t="s">
        <v>268</v>
      </c>
      <c r="I125" t="s">
        <v>268</v>
      </c>
      <c r="J125" t="s">
        <v>636</v>
      </c>
      <c r="K125" s="2">
        <v>9.3000000000000007</v>
      </c>
      <c r="L125" s="3">
        <v>128137.09</v>
      </c>
      <c r="M125" t="s">
        <v>142</v>
      </c>
      <c r="N125" t="s">
        <v>342</v>
      </c>
      <c r="O125" t="s">
        <v>586</v>
      </c>
      <c r="P125" t="str">
        <f t="shared" si="3"/>
        <v>2025-04</v>
      </c>
      <c r="Q125">
        <f>IF(tblWO[[#This Row],[Status]]="Completed",1,
IF(tblWO[[#This Row],[Status]]="In Progress",2,
IF(tblWO[[#This Row],[Status]]="Planned",3,
IF(tblWO[[#This Row],[Status]]="Cancelled",4,99))))</f>
        <v>1</v>
      </c>
      <c r="R125">
        <f t="shared" si="4"/>
        <v>1</v>
      </c>
      <c r="S125" s="6" t="str">
        <f t="shared" si="5"/>
        <v>2025-04</v>
      </c>
    </row>
    <row r="126" spans="1:19">
      <c r="A126" t="s">
        <v>637</v>
      </c>
      <c r="B126" t="s">
        <v>39</v>
      </c>
      <c r="C126" t="s">
        <v>40</v>
      </c>
      <c r="D126" t="s">
        <v>146</v>
      </c>
      <c r="E126" t="s">
        <v>10</v>
      </c>
      <c r="F126" t="s">
        <v>138</v>
      </c>
      <c r="G126" t="s">
        <v>335</v>
      </c>
      <c r="H126" t="s">
        <v>336</v>
      </c>
      <c r="I126" t="s">
        <v>336</v>
      </c>
      <c r="J126" t="s">
        <v>638</v>
      </c>
      <c r="K126" s="2">
        <v>5.7</v>
      </c>
      <c r="L126" s="3">
        <v>272750.61</v>
      </c>
      <c r="M126" t="s">
        <v>249</v>
      </c>
      <c r="N126" t="s">
        <v>342</v>
      </c>
      <c r="O126" t="s">
        <v>611</v>
      </c>
      <c r="P126" t="str">
        <f t="shared" si="3"/>
        <v>2025-03</v>
      </c>
      <c r="Q126">
        <f>IF(tblWO[[#This Row],[Status]]="Completed",1,
IF(tblWO[[#This Row],[Status]]="In Progress",2,
IF(tblWO[[#This Row],[Status]]="Planned",3,
IF(tblWO[[#This Row],[Status]]="Cancelled",4,99))))</f>
        <v>1</v>
      </c>
      <c r="R126">
        <f t="shared" si="4"/>
        <v>3</v>
      </c>
      <c r="S126" s="6" t="str">
        <f t="shared" si="5"/>
        <v>2025-03</v>
      </c>
    </row>
    <row r="127" spans="1:19">
      <c r="A127" t="s">
        <v>639</v>
      </c>
      <c r="B127" t="s">
        <v>39</v>
      </c>
      <c r="C127" t="s">
        <v>40</v>
      </c>
      <c r="D127" t="s">
        <v>169</v>
      </c>
      <c r="E127" t="s">
        <v>37</v>
      </c>
      <c r="F127" t="s">
        <v>138</v>
      </c>
      <c r="G127" t="s">
        <v>640</v>
      </c>
      <c r="H127" t="s">
        <v>641</v>
      </c>
      <c r="I127" t="s">
        <v>641</v>
      </c>
      <c r="J127" t="s">
        <v>642</v>
      </c>
      <c r="K127" s="2">
        <v>12.9</v>
      </c>
      <c r="L127" s="3">
        <v>412158.85</v>
      </c>
      <c r="M127" t="s">
        <v>390</v>
      </c>
      <c r="N127" t="s">
        <v>174</v>
      </c>
      <c r="O127" t="s">
        <v>599</v>
      </c>
      <c r="P127" t="str">
        <f t="shared" si="3"/>
        <v>2025-01</v>
      </c>
      <c r="Q127">
        <f>IF(tblWO[[#This Row],[Status]]="Completed",1,
IF(tblWO[[#This Row],[Status]]="In Progress",2,
IF(tblWO[[#This Row],[Status]]="Planned",3,
IF(tblWO[[#This Row],[Status]]="Cancelled",4,99))))</f>
        <v>1</v>
      </c>
      <c r="R127">
        <f t="shared" si="4"/>
        <v>4</v>
      </c>
      <c r="S127" s="6" t="str">
        <f t="shared" si="5"/>
        <v>2025-01</v>
      </c>
    </row>
    <row r="128" spans="1:19">
      <c r="A128" t="s">
        <v>643</v>
      </c>
      <c r="B128" t="s">
        <v>39</v>
      </c>
      <c r="C128" t="s">
        <v>40</v>
      </c>
      <c r="D128" t="s">
        <v>137</v>
      </c>
      <c r="E128" t="s">
        <v>37</v>
      </c>
      <c r="F128" t="s">
        <v>138</v>
      </c>
      <c r="G128" t="s">
        <v>236</v>
      </c>
      <c r="H128" t="s">
        <v>237</v>
      </c>
      <c r="I128" t="s">
        <v>237</v>
      </c>
      <c r="J128" t="s">
        <v>644</v>
      </c>
      <c r="K128" s="2">
        <v>2.7</v>
      </c>
      <c r="L128" s="3">
        <v>37019.1</v>
      </c>
      <c r="M128" t="s">
        <v>142</v>
      </c>
      <c r="N128" t="s">
        <v>156</v>
      </c>
      <c r="O128" t="s">
        <v>602</v>
      </c>
      <c r="P128" t="str">
        <f t="shared" si="3"/>
        <v>2025-01</v>
      </c>
      <c r="Q128">
        <f>IF(tblWO[[#This Row],[Status]]="Completed",1,
IF(tblWO[[#This Row],[Status]]="In Progress",2,
IF(tblWO[[#This Row],[Status]]="Planned",3,
IF(tblWO[[#This Row],[Status]]="Cancelled",4,99))))</f>
        <v>1</v>
      </c>
      <c r="R128">
        <f t="shared" si="4"/>
        <v>2</v>
      </c>
      <c r="S128" s="6" t="str">
        <f t="shared" si="5"/>
        <v>2025-01</v>
      </c>
    </row>
    <row r="129" spans="1:19">
      <c r="A129" t="s">
        <v>645</v>
      </c>
      <c r="B129" t="s">
        <v>39</v>
      </c>
      <c r="C129" t="s">
        <v>40</v>
      </c>
      <c r="D129" t="s">
        <v>158</v>
      </c>
      <c r="E129" t="s">
        <v>10</v>
      </c>
      <c r="F129" t="s">
        <v>138</v>
      </c>
      <c r="G129" t="s">
        <v>579</v>
      </c>
      <c r="H129" t="s">
        <v>580</v>
      </c>
      <c r="I129" t="s">
        <v>580</v>
      </c>
      <c r="J129" t="s">
        <v>646</v>
      </c>
      <c r="K129" s="2">
        <v>4.8</v>
      </c>
      <c r="L129" s="3">
        <v>106539.77</v>
      </c>
      <c r="M129" t="s">
        <v>142</v>
      </c>
      <c r="N129" t="s">
        <v>174</v>
      </c>
      <c r="O129" t="s">
        <v>586</v>
      </c>
      <c r="P129" t="str">
        <f t="shared" si="3"/>
        <v>2025-02</v>
      </c>
      <c r="Q129">
        <f>IF(tblWO[[#This Row],[Status]]="Completed",1,
IF(tblWO[[#This Row],[Status]]="In Progress",2,
IF(tblWO[[#This Row],[Status]]="Planned",3,
IF(tblWO[[#This Row],[Status]]="Cancelled",4,99))))</f>
        <v>1</v>
      </c>
      <c r="R129">
        <f t="shared" si="4"/>
        <v>1</v>
      </c>
      <c r="S129" s="6" t="str">
        <f t="shared" si="5"/>
        <v>2025-02</v>
      </c>
    </row>
    <row r="130" spans="1:19">
      <c r="A130" t="s">
        <v>647</v>
      </c>
      <c r="B130" t="s">
        <v>39</v>
      </c>
      <c r="C130" t="s">
        <v>40</v>
      </c>
      <c r="D130" t="s">
        <v>169</v>
      </c>
      <c r="E130" t="s">
        <v>45</v>
      </c>
      <c r="F130" t="s">
        <v>138</v>
      </c>
      <c r="G130" t="s">
        <v>648</v>
      </c>
      <c r="H130" t="s">
        <v>649</v>
      </c>
      <c r="I130" t="s">
        <v>649</v>
      </c>
      <c r="J130" t="s">
        <v>650</v>
      </c>
      <c r="K130" s="2">
        <v>34.299999999999997</v>
      </c>
      <c r="L130" s="3">
        <v>616082.71</v>
      </c>
      <c r="M130" t="s">
        <v>173</v>
      </c>
      <c r="N130" t="s">
        <v>162</v>
      </c>
      <c r="O130" t="s">
        <v>599</v>
      </c>
      <c r="P130" t="str">
        <f t="shared" ref="P130:P193" si="6">TEXT(G130,"yyyy-mm")</f>
        <v>2025-11</v>
      </c>
      <c r="Q130">
        <f>IF(tblWO[[#This Row],[Status]]="Completed",1,
IF(tblWO[[#This Row],[Status]]="In Progress",2,
IF(tblWO[[#This Row],[Status]]="Planned",3,
IF(tblWO[[#This Row],[Status]]="Cancelled",4,99))))</f>
        <v>1</v>
      </c>
      <c r="R130">
        <f t="shared" ref="R130:R193" si="7">IF(D130="Preventive",1,
IF(D130="Inspection",2,
IF(D130="Corrective",3,
IF(D130="Breakdown",4,
IF(D130="Overhaul",5,99)))))</f>
        <v>4</v>
      </c>
      <c r="S130" s="6" t="str">
        <f t="shared" ref="S130:S193" si="8">TEXT(G130,"yyyy-mm")</f>
        <v>2025-11</v>
      </c>
    </row>
    <row r="131" spans="1:19">
      <c r="A131" t="s">
        <v>651</v>
      </c>
      <c r="B131" t="s">
        <v>39</v>
      </c>
      <c r="C131" t="s">
        <v>40</v>
      </c>
      <c r="D131" t="s">
        <v>158</v>
      </c>
      <c r="E131" t="s">
        <v>37</v>
      </c>
      <c r="F131" t="s">
        <v>147</v>
      </c>
      <c r="G131" t="s">
        <v>652</v>
      </c>
      <c r="H131" t="s">
        <v>653</v>
      </c>
      <c r="K131" s="2">
        <v>0</v>
      </c>
      <c r="L131" s="3">
        <v>0</v>
      </c>
      <c r="N131" t="s">
        <v>143</v>
      </c>
      <c r="O131" t="s">
        <v>586</v>
      </c>
      <c r="P131" t="str">
        <f t="shared" si="6"/>
        <v>2025-12</v>
      </c>
      <c r="Q131">
        <f>IF(tblWO[[#This Row],[Status]]="Completed",1,
IF(tblWO[[#This Row],[Status]]="In Progress",2,
IF(tblWO[[#This Row],[Status]]="Planned",3,
IF(tblWO[[#This Row],[Status]]="Cancelled",4,99))))</f>
        <v>2</v>
      </c>
      <c r="R131">
        <f t="shared" si="7"/>
        <v>1</v>
      </c>
      <c r="S131" s="6" t="str">
        <f t="shared" si="8"/>
        <v>2025-12</v>
      </c>
    </row>
    <row r="132" spans="1:19">
      <c r="A132" t="s">
        <v>654</v>
      </c>
      <c r="B132" t="s">
        <v>39</v>
      </c>
      <c r="C132" t="s">
        <v>40</v>
      </c>
      <c r="D132" t="s">
        <v>137</v>
      </c>
      <c r="E132" t="s">
        <v>45</v>
      </c>
      <c r="F132" t="s">
        <v>138</v>
      </c>
      <c r="G132" t="s">
        <v>553</v>
      </c>
      <c r="H132" t="s">
        <v>554</v>
      </c>
      <c r="I132" t="s">
        <v>554</v>
      </c>
      <c r="J132" t="s">
        <v>655</v>
      </c>
      <c r="K132" s="2">
        <v>3.9</v>
      </c>
      <c r="L132" s="3">
        <v>27340.61</v>
      </c>
      <c r="M132" t="s">
        <v>142</v>
      </c>
      <c r="N132" t="s">
        <v>150</v>
      </c>
      <c r="O132" t="s">
        <v>602</v>
      </c>
      <c r="P132" t="str">
        <f t="shared" si="6"/>
        <v>2025-10</v>
      </c>
      <c r="Q132">
        <f>IF(tblWO[[#This Row],[Status]]="Completed",1,
IF(tblWO[[#This Row],[Status]]="In Progress",2,
IF(tblWO[[#This Row],[Status]]="Planned",3,
IF(tblWO[[#This Row],[Status]]="Cancelled",4,99))))</f>
        <v>1</v>
      </c>
      <c r="R132">
        <f t="shared" si="7"/>
        <v>2</v>
      </c>
      <c r="S132" s="6" t="str">
        <f t="shared" si="8"/>
        <v>2025-10</v>
      </c>
    </row>
    <row r="133" spans="1:19">
      <c r="A133" t="s">
        <v>656</v>
      </c>
      <c r="B133" t="s">
        <v>39</v>
      </c>
      <c r="C133" t="s">
        <v>40</v>
      </c>
      <c r="D133" t="s">
        <v>158</v>
      </c>
      <c r="E133" t="s">
        <v>45</v>
      </c>
      <c r="F133" t="s">
        <v>138</v>
      </c>
      <c r="G133" t="s">
        <v>657</v>
      </c>
      <c r="H133" t="s">
        <v>658</v>
      </c>
      <c r="I133" t="s">
        <v>658</v>
      </c>
      <c r="J133" t="s">
        <v>659</v>
      </c>
      <c r="K133" s="2">
        <v>9.8000000000000007</v>
      </c>
      <c r="L133" s="3">
        <v>191898.39</v>
      </c>
      <c r="M133" t="s">
        <v>142</v>
      </c>
      <c r="N133" t="s">
        <v>185</v>
      </c>
      <c r="O133" t="s">
        <v>586</v>
      </c>
      <c r="P133" t="str">
        <f t="shared" si="6"/>
        <v>2025-08</v>
      </c>
      <c r="Q133">
        <f>IF(tblWO[[#This Row],[Status]]="Completed",1,
IF(tblWO[[#This Row],[Status]]="In Progress",2,
IF(tblWO[[#This Row],[Status]]="Planned",3,
IF(tblWO[[#This Row],[Status]]="Cancelled",4,99))))</f>
        <v>1</v>
      </c>
      <c r="R133">
        <f t="shared" si="7"/>
        <v>1</v>
      </c>
      <c r="S133" s="6" t="str">
        <f t="shared" si="8"/>
        <v>2025-08</v>
      </c>
    </row>
    <row r="134" spans="1:19">
      <c r="A134" t="s">
        <v>660</v>
      </c>
      <c r="B134" t="s">
        <v>39</v>
      </c>
      <c r="C134" t="s">
        <v>40</v>
      </c>
      <c r="D134" t="s">
        <v>137</v>
      </c>
      <c r="E134" t="s">
        <v>45</v>
      </c>
      <c r="F134" t="s">
        <v>138</v>
      </c>
      <c r="G134" t="s">
        <v>661</v>
      </c>
      <c r="H134" t="s">
        <v>662</v>
      </c>
      <c r="I134" t="s">
        <v>662</v>
      </c>
      <c r="J134" t="s">
        <v>663</v>
      </c>
      <c r="K134" s="2">
        <v>1.8</v>
      </c>
      <c r="L134" s="3">
        <v>72955.100000000006</v>
      </c>
      <c r="M134" t="s">
        <v>142</v>
      </c>
      <c r="N134" t="s">
        <v>156</v>
      </c>
      <c r="O134" t="s">
        <v>602</v>
      </c>
      <c r="P134" t="str">
        <f t="shared" si="6"/>
        <v>2025-03</v>
      </c>
      <c r="Q134">
        <f>IF(tblWO[[#This Row],[Status]]="Completed",1,
IF(tblWO[[#This Row],[Status]]="In Progress",2,
IF(tblWO[[#This Row],[Status]]="Planned",3,
IF(tblWO[[#This Row],[Status]]="Cancelled",4,99))))</f>
        <v>1</v>
      </c>
      <c r="R134">
        <f t="shared" si="7"/>
        <v>2</v>
      </c>
      <c r="S134" s="6" t="str">
        <f t="shared" si="8"/>
        <v>2025-03</v>
      </c>
    </row>
    <row r="135" spans="1:19">
      <c r="A135" t="s">
        <v>664</v>
      </c>
      <c r="B135" t="s">
        <v>39</v>
      </c>
      <c r="C135" t="s">
        <v>40</v>
      </c>
      <c r="D135" t="s">
        <v>146</v>
      </c>
      <c r="E135" t="s">
        <v>37</v>
      </c>
      <c r="F135" t="s">
        <v>138</v>
      </c>
      <c r="G135" t="s">
        <v>231</v>
      </c>
      <c r="H135" t="s">
        <v>232</v>
      </c>
      <c r="I135" t="s">
        <v>232</v>
      </c>
      <c r="J135" t="s">
        <v>665</v>
      </c>
      <c r="K135" s="2">
        <v>6.2</v>
      </c>
      <c r="L135" s="3">
        <v>371287.16</v>
      </c>
      <c r="M135" t="s">
        <v>213</v>
      </c>
      <c r="N135" t="s">
        <v>156</v>
      </c>
      <c r="O135" t="s">
        <v>611</v>
      </c>
      <c r="P135" t="str">
        <f t="shared" si="6"/>
        <v>2025-05</v>
      </c>
      <c r="Q135">
        <f>IF(tblWO[[#This Row],[Status]]="Completed",1,
IF(tblWO[[#This Row],[Status]]="In Progress",2,
IF(tblWO[[#This Row],[Status]]="Planned",3,
IF(tblWO[[#This Row],[Status]]="Cancelled",4,99))))</f>
        <v>1</v>
      </c>
      <c r="R135">
        <f t="shared" si="7"/>
        <v>3</v>
      </c>
      <c r="S135" s="6" t="str">
        <f t="shared" si="8"/>
        <v>2025-05</v>
      </c>
    </row>
    <row r="136" spans="1:19">
      <c r="A136" t="s">
        <v>666</v>
      </c>
      <c r="B136" t="s">
        <v>43</v>
      </c>
      <c r="C136" t="s">
        <v>44</v>
      </c>
      <c r="D136" t="s">
        <v>146</v>
      </c>
      <c r="E136" t="s">
        <v>10</v>
      </c>
      <c r="F136" t="s">
        <v>138</v>
      </c>
      <c r="G136" t="s">
        <v>667</v>
      </c>
      <c r="H136" t="s">
        <v>668</v>
      </c>
      <c r="I136" t="s">
        <v>668</v>
      </c>
      <c r="J136" t="s">
        <v>669</v>
      </c>
      <c r="K136" s="2">
        <v>10</v>
      </c>
      <c r="L136" s="3">
        <v>184493.59</v>
      </c>
      <c r="M136" t="s">
        <v>670</v>
      </c>
      <c r="N136" t="s">
        <v>143</v>
      </c>
      <c r="O136" t="s">
        <v>671</v>
      </c>
      <c r="P136" t="str">
        <f t="shared" si="6"/>
        <v>2025-04</v>
      </c>
      <c r="Q136">
        <f>IF(tblWO[[#This Row],[Status]]="Completed",1,
IF(tblWO[[#This Row],[Status]]="In Progress",2,
IF(tblWO[[#This Row],[Status]]="Planned",3,
IF(tblWO[[#This Row],[Status]]="Cancelled",4,99))))</f>
        <v>1</v>
      </c>
      <c r="R136">
        <f t="shared" si="7"/>
        <v>3</v>
      </c>
      <c r="S136" s="6" t="str">
        <f t="shared" si="8"/>
        <v>2025-04</v>
      </c>
    </row>
    <row r="137" spans="1:19">
      <c r="A137" t="s">
        <v>672</v>
      </c>
      <c r="B137" t="s">
        <v>43</v>
      </c>
      <c r="C137" t="s">
        <v>44</v>
      </c>
      <c r="D137" t="s">
        <v>169</v>
      </c>
      <c r="E137" t="s">
        <v>45</v>
      </c>
      <c r="F137" t="s">
        <v>138</v>
      </c>
      <c r="G137" t="s">
        <v>673</v>
      </c>
      <c r="H137" t="s">
        <v>674</v>
      </c>
      <c r="I137" t="s">
        <v>674</v>
      </c>
      <c r="J137" t="s">
        <v>675</v>
      </c>
      <c r="K137" s="2">
        <v>13.2</v>
      </c>
      <c r="L137" s="3">
        <v>519549.41</v>
      </c>
      <c r="M137" t="s">
        <v>291</v>
      </c>
      <c r="N137" t="s">
        <v>150</v>
      </c>
      <c r="O137" t="s">
        <v>676</v>
      </c>
      <c r="P137" t="str">
        <f t="shared" si="6"/>
        <v>2025-06</v>
      </c>
      <c r="Q137">
        <f>IF(tblWO[[#This Row],[Status]]="Completed",1,
IF(tblWO[[#This Row],[Status]]="In Progress",2,
IF(tblWO[[#This Row],[Status]]="Planned",3,
IF(tblWO[[#This Row],[Status]]="Cancelled",4,99))))</f>
        <v>1</v>
      </c>
      <c r="R137">
        <f t="shared" si="7"/>
        <v>4</v>
      </c>
      <c r="S137" s="6" t="str">
        <f t="shared" si="8"/>
        <v>2025-06</v>
      </c>
    </row>
    <row r="138" spans="1:19">
      <c r="A138" t="s">
        <v>677</v>
      </c>
      <c r="B138" t="s">
        <v>43</v>
      </c>
      <c r="C138" t="s">
        <v>44</v>
      </c>
      <c r="D138" t="s">
        <v>146</v>
      </c>
      <c r="E138" t="s">
        <v>10</v>
      </c>
      <c r="F138" t="s">
        <v>147</v>
      </c>
      <c r="G138" t="s">
        <v>678</v>
      </c>
      <c r="H138" t="s">
        <v>679</v>
      </c>
      <c r="K138" s="2">
        <v>0</v>
      </c>
      <c r="L138" s="3">
        <v>0</v>
      </c>
      <c r="N138" t="s">
        <v>162</v>
      </c>
      <c r="O138" t="s">
        <v>671</v>
      </c>
      <c r="P138" t="str">
        <f t="shared" si="6"/>
        <v>2025-06</v>
      </c>
      <c r="Q138">
        <f>IF(tblWO[[#This Row],[Status]]="Completed",1,
IF(tblWO[[#This Row],[Status]]="In Progress",2,
IF(tblWO[[#This Row],[Status]]="Planned",3,
IF(tblWO[[#This Row],[Status]]="Cancelled",4,99))))</f>
        <v>2</v>
      </c>
      <c r="R138">
        <f t="shared" si="7"/>
        <v>3</v>
      </c>
      <c r="S138" s="6" t="str">
        <f t="shared" si="8"/>
        <v>2025-06</v>
      </c>
    </row>
    <row r="139" spans="1:19">
      <c r="A139" t="s">
        <v>680</v>
      </c>
      <c r="B139" t="s">
        <v>43</v>
      </c>
      <c r="C139" t="s">
        <v>44</v>
      </c>
      <c r="D139" t="s">
        <v>158</v>
      </c>
      <c r="E139" t="s">
        <v>45</v>
      </c>
      <c r="F139" t="s">
        <v>138</v>
      </c>
      <c r="G139" t="s">
        <v>681</v>
      </c>
      <c r="H139" t="s">
        <v>682</v>
      </c>
      <c r="I139" t="s">
        <v>682</v>
      </c>
      <c r="J139" t="s">
        <v>683</v>
      </c>
      <c r="K139" s="2">
        <v>9.1</v>
      </c>
      <c r="L139" s="3">
        <v>154423.49</v>
      </c>
      <c r="M139" t="s">
        <v>142</v>
      </c>
      <c r="N139" t="s">
        <v>185</v>
      </c>
      <c r="O139" t="s">
        <v>684</v>
      </c>
      <c r="P139" t="str">
        <f t="shared" si="6"/>
        <v>2025-01</v>
      </c>
      <c r="Q139">
        <f>IF(tblWO[[#This Row],[Status]]="Completed",1,
IF(tblWO[[#This Row],[Status]]="In Progress",2,
IF(tblWO[[#This Row],[Status]]="Planned",3,
IF(tblWO[[#This Row],[Status]]="Cancelled",4,99))))</f>
        <v>1</v>
      </c>
      <c r="R139">
        <f t="shared" si="7"/>
        <v>1</v>
      </c>
      <c r="S139" s="6" t="str">
        <f t="shared" si="8"/>
        <v>2025-01</v>
      </c>
    </row>
    <row r="140" spans="1:19">
      <c r="A140" t="s">
        <v>685</v>
      </c>
      <c r="B140" t="s">
        <v>43</v>
      </c>
      <c r="C140" t="s">
        <v>44</v>
      </c>
      <c r="D140" t="s">
        <v>158</v>
      </c>
      <c r="E140" t="s">
        <v>45</v>
      </c>
      <c r="F140" t="s">
        <v>202</v>
      </c>
      <c r="G140" t="s">
        <v>686</v>
      </c>
      <c r="H140" t="s">
        <v>687</v>
      </c>
      <c r="K140" s="2">
        <v>0</v>
      </c>
      <c r="L140" s="3">
        <v>0</v>
      </c>
      <c r="N140" t="s">
        <v>342</v>
      </c>
      <c r="O140" t="s">
        <v>684</v>
      </c>
      <c r="P140" t="str">
        <f t="shared" si="6"/>
        <v>2025-06</v>
      </c>
      <c r="Q140">
        <f>IF(tblWO[[#This Row],[Status]]="Completed",1,
IF(tblWO[[#This Row],[Status]]="In Progress",2,
IF(tblWO[[#This Row],[Status]]="Planned",3,
IF(tblWO[[#This Row],[Status]]="Cancelled",4,99))))</f>
        <v>3</v>
      </c>
      <c r="R140">
        <f t="shared" si="7"/>
        <v>1</v>
      </c>
      <c r="S140" s="6" t="str">
        <f t="shared" si="8"/>
        <v>2025-06</v>
      </c>
    </row>
    <row r="141" spans="1:19">
      <c r="A141" t="s">
        <v>688</v>
      </c>
      <c r="B141" t="s">
        <v>43</v>
      </c>
      <c r="C141" t="s">
        <v>44</v>
      </c>
      <c r="D141" t="s">
        <v>158</v>
      </c>
      <c r="E141" t="s">
        <v>45</v>
      </c>
      <c r="F141" t="s">
        <v>138</v>
      </c>
      <c r="G141" t="s">
        <v>314</v>
      </c>
      <c r="H141" t="s">
        <v>315</v>
      </c>
      <c r="I141" t="s">
        <v>315</v>
      </c>
      <c r="J141" t="s">
        <v>689</v>
      </c>
      <c r="K141" s="2">
        <v>6</v>
      </c>
      <c r="L141" s="3">
        <v>127568.64</v>
      </c>
      <c r="M141" t="s">
        <v>142</v>
      </c>
      <c r="N141" t="s">
        <v>342</v>
      </c>
      <c r="O141" t="s">
        <v>684</v>
      </c>
      <c r="P141" t="str">
        <f t="shared" si="6"/>
        <v>2025-02</v>
      </c>
      <c r="Q141">
        <f>IF(tblWO[[#This Row],[Status]]="Completed",1,
IF(tblWO[[#This Row],[Status]]="In Progress",2,
IF(tblWO[[#This Row],[Status]]="Planned",3,
IF(tblWO[[#This Row],[Status]]="Cancelled",4,99))))</f>
        <v>1</v>
      </c>
      <c r="R141">
        <f t="shared" si="7"/>
        <v>1</v>
      </c>
      <c r="S141" s="6" t="str">
        <f t="shared" si="8"/>
        <v>2025-02</v>
      </c>
    </row>
    <row r="142" spans="1:19">
      <c r="A142" t="s">
        <v>690</v>
      </c>
      <c r="B142" t="s">
        <v>43</v>
      </c>
      <c r="C142" t="s">
        <v>44</v>
      </c>
      <c r="D142" t="s">
        <v>158</v>
      </c>
      <c r="E142" t="s">
        <v>45</v>
      </c>
      <c r="F142" t="s">
        <v>138</v>
      </c>
      <c r="G142" t="s">
        <v>691</v>
      </c>
      <c r="H142" t="s">
        <v>692</v>
      </c>
      <c r="I142" t="s">
        <v>692</v>
      </c>
      <c r="J142" t="s">
        <v>693</v>
      </c>
      <c r="K142" s="2">
        <v>3.9</v>
      </c>
      <c r="L142" s="3">
        <v>244057.06</v>
      </c>
      <c r="M142" t="s">
        <v>142</v>
      </c>
      <c r="N142" t="s">
        <v>342</v>
      </c>
      <c r="O142" t="s">
        <v>684</v>
      </c>
      <c r="P142" t="str">
        <f t="shared" si="6"/>
        <v>2025-03</v>
      </c>
      <c r="Q142">
        <f>IF(tblWO[[#This Row],[Status]]="Completed",1,
IF(tblWO[[#This Row],[Status]]="In Progress",2,
IF(tblWO[[#This Row],[Status]]="Planned",3,
IF(tblWO[[#This Row],[Status]]="Cancelled",4,99))))</f>
        <v>1</v>
      </c>
      <c r="R142">
        <f t="shared" si="7"/>
        <v>1</v>
      </c>
      <c r="S142" s="6" t="str">
        <f t="shared" si="8"/>
        <v>2025-03</v>
      </c>
    </row>
    <row r="143" spans="1:19">
      <c r="A143" t="s">
        <v>694</v>
      </c>
      <c r="B143" t="s">
        <v>43</v>
      </c>
      <c r="C143" t="s">
        <v>44</v>
      </c>
      <c r="D143" t="s">
        <v>169</v>
      </c>
      <c r="E143" t="s">
        <v>37</v>
      </c>
      <c r="F143" t="s">
        <v>138</v>
      </c>
      <c r="G143" t="s">
        <v>695</v>
      </c>
      <c r="H143" t="s">
        <v>696</v>
      </c>
      <c r="I143" t="s">
        <v>696</v>
      </c>
      <c r="J143" t="s">
        <v>697</v>
      </c>
      <c r="K143" s="2">
        <v>32.1</v>
      </c>
      <c r="L143" s="3">
        <v>656129.18000000005</v>
      </c>
      <c r="M143" t="s">
        <v>563</v>
      </c>
      <c r="N143" t="s">
        <v>185</v>
      </c>
      <c r="O143" t="s">
        <v>676</v>
      </c>
      <c r="P143" t="str">
        <f t="shared" si="6"/>
        <v>2025-03</v>
      </c>
      <c r="Q143">
        <f>IF(tblWO[[#This Row],[Status]]="Completed",1,
IF(tblWO[[#This Row],[Status]]="In Progress",2,
IF(tblWO[[#This Row],[Status]]="Planned",3,
IF(tblWO[[#This Row],[Status]]="Cancelled",4,99))))</f>
        <v>1</v>
      </c>
      <c r="R143">
        <f t="shared" si="7"/>
        <v>4</v>
      </c>
      <c r="S143" s="6" t="str">
        <f t="shared" si="8"/>
        <v>2025-03</v>
      </c>
    </row>
    <row r="144" spans="1:19">
      <c r="A144" t="s">
        <v>698</v>
      </c>
      <c r="B144" t="s">
        <v>43</v>
      </c>
      <c r="C144" t="s">
        <v>44</v>
      </c>
      <c r="D144" t="s">
        <v>158</v>
      </c>
      <c r="E144" t="s">
        <v>45</v>
      </c>
      <c r="F144" t="s">
        <v>138</v>
      </c>
      <c r="G144" t="s">
        <v>699</v>
      </c>
      <c r="H144" t="s">
        <v>700</v>
      </c>
      <c r="I144" t="s">
        <v>700</v>
      </c>
      <c r="J144" t="s">
        <v>701</v>
      </c>
      <c r="K144" s="2">
        <v>6.5</v>
      </c>
      <c r="L144" s="3">
        <v>281038.56</v>
      </c>
      <c r="M144" t="s">
        <v>142</v>
      </c>
      <c r="N144" t="s">
        <v>342</v>
      </c>
      <c r="O144" t="s">
        <v>684</v>
      </c>
      <c r="P144" t="str">
        <f t="shared" si="6"/>
        <v>2025-11</v>
      </c>
      <c r="Q144">
        <f>IF(tblWO[[#This Row],[Status]]="Completed",1,
IF(tblWO[[#This Row],[Status]]="In Progress",2,
IF(tblWO[[#This Row],[Status]]="Planned",3,
IF(tblWO[[#This Row],[Status]]="Cancelled",4,99))))</f>
        <v>1</v>
      </c>
      <c r="R144">
        <f t="shared" si="7"/>
        <v>1</v>
      </c>
      <c r="S144" s="6" t="str">
        <f t="shared" si="8"/>
        <v>2025-11</v>
      </c>
    </row>
    <row r="145" spans="1:19">
      <c r="A145" t="s">
        <v>702</v>
      </c>
      <c r="B145" t="s">
        <v>43</v>
      </c>
      <c r="C145" t="s">
        <v>44</v>
      </c>
      <c r="D145" t="s">
        <v>137</v>
      </c>
      <c r="E145" t="s">
        <v>45</v>
      </c>
      <c r="F145" t="s">
        <v>138</v>
      </c>
      <c r="G145" t="s">
        <v>699</v>
      </c>
      <c r="H145" t="s">
        <v>700</v>
      </c>
      <c r="I145" t="s">
        <v>700</v>
      </c>
      <c r="J145" t="s">
        <v>703</v>
      </c>
      <c r="K145" s="2">
        <v>2.9</v>
      </c>
      <c r="L145" s="3">
        <v>83706.37</v>
      </c>
      <c r="M145" t="s">
        <v>142</v>
      </c>
      <c r="N145" t="s">
        <v>162</v>
      </c>
      <c r="O145" t="s">
        <v>704</v>
      </c>
      <c r="P145" t="str">
        <f t="shared" si="6"/>
        <v>2025-11</v>
      </c>
      <c r="Q145">
        <f>IF(tblWO[[#This Row],[Status]]="Completed",1,
IF(tblWO[[#This Row],[Status]]="In Progress",2,
IF(tblWO[[#This Row],[Status]]="Planned",3,
IF(tblWO[[#This Row],[Status]]="Cancelled",4,99))))</f>
        <v>1</v>
      </c>
      <c r="R145">
        <f t="shared" si="7"/>
        <v>2</v>
      </c>
      <c r="S145" s="6" t="str">
        <f t="shared" si="8"/>
        <v>2025-11</v>
      </c>
    </row>
    <row r="146" spans="1:19">
      <c r="A146" t="s">
        <v>705</v>
      </c>
      <c r="B146" t="s">
        <v>47</v>
      </c>
      <c r="C146" t="s">
        <v>48</v>
      </c>
      <c r="D146" t="s">
        <v>146</v>
      </c>
      <c r="E146" t="s">
        <v>32</v>
      </c>
      <c r="F146" t="s">
        <v>138</v>
      </c>
      <c r="G146" t="s">
        <v>481</v>
      </c>
      <c r="H146" t="s">
        <v>482</v>
      </c>
      <c r="I146" t="s">
        <v>482</v>
      </c>
      <c r="J146" t="s">
        <v>706</v>
      </c>
      <c r="K146" s="2">
        <v>5.5</v>
      </c>
      <c r="L146" s="3">
        <v>445700.01</v>
      </c>
      <c r="M146" t="s">
        <v>291</v>
      </c>
      <c r="N146" t="s">
        <v>185</v>
      </c>
      <c r="O146" t="s">
        <v>707</v>
      </c>
      <c r="P146" t="str">
        <f t="shared" si="6"/>
        <v>2025-08</v>
      </c>
      <c r="Q146">
        <f>IF(tblWO[[#This Row],[Status]]="Completed",1,
IF(tblWO[[#This Row],[Status]]="In Progress",2,
IF(tblWO[[#This Row],[Status]]="Planned",3,
IF(tblWO[[#This Row],[Status]]="Cancelled",4,99))))</f>
        <v>1</v>
      </c>
      <c r="R146">
        <f t="shared" si="7"/>
        <v>3</v>
      </c>
      <c r="S146" s="6" t="str">
        <f t="shared" si="8"/>
        <v>2025-08</v>
      </c>
    </row>
    <row r="147" spans="1:19">
      <c r="A147" t="s">
        <v>708</v>
      </c>
      <c r="B147" t="s">
        <v>47</v>
      </c>
      <c r="C147" t="s">
        <v>48</v>
      </c>
      <c r="D147" t="s">
        <v>146</v>
      </c>
      <c r="E147" t="s">
        <v>45</v>
      </c>
      <c r="F147" t="s">
        <v>138</v>
      </c>
      <c r="G147" t="s">
        <v>709</v>
      </c>
      <c r="H147" t="s">
        <v>710</v>
      </c>
      <c r="I147" t="s">
        <v>710</v>
      </c>
      <c r="J147" t="s">
        <v>711</v>
      </c>
      <c r="K147" s="2">
        <v>21.9</v>
      </c>
      <c r="L147" s="3">
        <v>279893.48</v>
      </c>
      <c r="M147" t="s">
        <v>390</v>
      </c>
      <c r="N147" t="s">
        <v>150</v>
      </c>
      <c r="O147" t="s">
        <v>707</v>
      </c>
      <c r="P147" t="str">
        <f t="shared" si="6"/>
        <v>2025-07</v>
      </c>
      <c r="Q147">
        <f>IF(tblWO[[#This Row],[Status]]="Completed",1,
IF(tblWO[[#This Row],[Status]]="In Progress",2,
IF(tblWO[[#This Row],[Status]]="Planned",3,
IF(tblWO[[#This Row],[Status]]="Cancelled",4,99))))</f>
        <v>1</v>
      </c>
      <c r="R147">
        <f t="shared" si="7"/>
        <v>3</v>
      </c>
      <c r="S147" s="6" t="str">
        <f t="shared" si="8"/>
        <v>2025-07</v>
      </c>
    </row>
    <row r="148" spans="1:19">
      <c r="A148" t="s">
        <v>712</v>
      </c>
      <c r="B148" t="s">
        <v>47</v>
      </c>
      <c r="C148" t="s">
        <v>48</v>
      </c>
      <c r="D148" t="s">
        <v>158</v>
      </c>
      <c r="E148" t="s">
        <v>45</v>
      </c>
      <c r="F148" t="s">
        <v>202</v>
      </c>
      <c r="G148" t="s">
        <v>713</v>
      </c>
      <c r="H148" t="s">
        <v>714</v>
      </c>
      <c r="K148" s="2">
        <v>0</v>
      </c>
      <c r="L148" s="3">
        <v>0</v>
      </c>
      <c r="N148" t="s">
        <v>342</v>
      </c>
      <c r="O148" t="s">
        <v>715</v>
      </c>
      <c r="P148" t="str">
        <f t="shared" si="6"/>
        <v>2025-08</v>
      </c>
      <c r="Q148">
        <f>IF(tblWO[[#This Row],[Status]]="Completed",1,
IF(tblWO[[#This Row],[Status]]="In Progress",2,
IF(tblWO[[#This Row],[Status]]="Planned",3,
IF(tblWO[[#This Row],[Status]]="Cancelled",4,99))))</f>
        <v>3</v>
      </c>
      <c r="R148">
        <f t="shared" si="7"/>
        <v>1</v>
      </c>
      <c r="S148" s="6" t="str">
        <f t="shared" si="8"/>
        <v>2025-08</v>
      </c>
    </row>
    <row r="149" spans="1:19">
      <c r="A149" t="s">
        <v>716</v>
      </c>
      <c r="B149" t="s">
        <v>47</v>
      </c>
      <c r="C149" t="s">
        <v>48</v>
      </c>
      <c r="D149" t="s">
        <v>463</v>
      </c>
      <c r="E149" t="s">
        <v>37</v>
      </c>
      <c r="F149" t="s">
        <v>138</v>
      </c>
      <c r="G149" t="s">
        <v>398</v>
      </c>
      <c r="H149" t="s">
        <v>399</v>
      </c>
      <c r="I149" t="s">
        <v>399</v>
      </c>
      <c r="J149" t="s">
        <v>717</v>
      </c>
      <c r="K149" s="2">
        <v>66</v>
      </c>
      <c r="L149" s="3">
        <v>939421.79</v>
      </c>
      <c r="M149" t="s">
        <v>390</v>
      </c>
      <c r="N149" t="s">
        <v>143</v>
      </c>
      <c r="O149" t="s">
        <v>718</v>
      </c>
      <c r="P149" t="str">
        <f t="shared" si="6"/>
        <v>2025-02</v>
      </c>
      <c r="Q149">
        <f>IF(tblWO[[#This Row],[Status]]="Completed",1,
IF(tblWO[[#This Row],[Status]]="In Progress",2,
IF(tblWO[[#This Row],[Status]]="Planned",3,
IF(tblWO[[#This Row],[Status]]="Cancelled",4,99))))</f>
        <v>1</v>
      </c>
      <c r="R149">
        <f t="shared" si="7"/>
        <v>5</v>
      </c>
      <c r="S149" s="6" t="str">
        <f t="shared" si="8"/>
        <v>2025-02</v>
      </c>
    </row>
    <row r="150" spans="1:19">
      <c r="A150" t="s">
        <v>719</v>
      </c>
      <c r="B150" t="s">
        <v>47</v>
      </c>
      <c r="C150" t="s">
        <v>48</v>
      </c>
      <c r="D150" t="s">
        <v>158</v>
      </c>
      <c r="E150" t="s">
        <v>45</v>
      </c>
      <c r="F150" t="s">
        <v>138</v>
      </c>
      <c r="G150" t="s">
        <v>720</v>
      </c>
      <c r="H150" t="s">
        <v>721</v>
      </c>
      <c r="I150" t="s">
        <v>721</v>
      </c>
      <c r="J150" t="s">
        <v>722</v>
      </c>
      <c r="K150" s="2">
        <v>2.5</v>
      </c>
      <c r="L150" s="3">
        <v>207721.64</v>
      </c>
      <c r="M150" t="s">
        <v>142</v>
      </c>
      <c r="N150" t="s">
        <v>342</v>
      </c>
      <c r="O150" t="s">
        <v>715</v>
      </c>
      <c r="P150" t="str">
        <f t="shared" si="6"/>
        <v>2025-05</v>
      </c>
      <c r="Q150">
        <f>IF(tblWO[[#This Row],[Status]]="Completed",1,
IF(tblWO[[#This Row],[Status]]="In Progress",2,
IF(tblWO[[#This Row],[Status]]="Planned",3,
IF(tblWO[[#This Row],[Status]]="Cancelled",4,99))))</f>
        <v>1</v>
      </c>
      <c r="R150">
        <f t="shared" si="7"/>
        <v>1</v>
      </c>
      <c r="S150" s="6" t="str">
        <f t="shared" si="8"/>
        <v>2025-05</v>
      </c>
    </row>
    <row r="151" spans="1:19">
      <c r="A151" t="s">
        <v>723</v>
      </c>
      <c r="B151" t="s">
        <v>50</v>
      </c>
      <c r="C151" t="s">
        <v>51</v>
      </c>
      <c r="D151" t="s">
        <v>158</v>
      </c>
      <c r="E151" t="s">
        <v>45</v>
      </c>
      <c r="F151" t="s">
        <v>138</v>
      </c>
      <c r="G151" t="s">
        <v>724</v>
      </c>
      <c r="H151" t="s">
        <v>725</v>
      </c>
      <c r="I151" t="s">
        <v>725</v>
      </c>
      <c r="J151" t="s">
        <v>726</v>
      </c>
      <c r="K151" s="2">
        <v>8.6</v>
      </c>
      <c r="L151" s="3">
        <v>276585.67</v>
      </c>
      <c r="M151" t="s">
        <v>142</v>
      </c>
      <c r="N151" t="s">
        <v>143</v>
      </c>
      <c r="O151" t="s">
        <v>727</v>
      </c>
      <c r="P151" t="str">
        <f t="shared" si="6"/>
        <v>2025-10</v>
      </c>
      <c r="Q151">
        <f>IF(tblWO[[#This Row],[Status]]="Completed",1,
IF(tblWO[[#This Row],[Status]]="In Progress",2,
IF(tblWO[[#This Row],[Status]]="Planned",3,
IF(tblWO[[#This Row],[Status]]="Cancelled",4,99))))</f>
        <v>1</v>
      </c>
      <c r="R151">
        <f t="shared" si="7"/>
        <v>1</v>
      </c>
      <c r="S151" s="6" t="str">
        <f t="shared" si="8"/>
        <v>2025-10</v>
      </c>
    </row>
    <row r="152" spans="1:19">
      <c r="A152" t="s">
        <v>728</v>
      </c>
      <c r="B152" t="s">
        <v>50</v>
      </c>
      <c r="C152" t="s">
        <v>51</v>
      </c>
      <c r="D152" t="s">
        <v>158</v>
      </c>
      <c r="E152" t="s">
        <v>37</v>
      </c>
      <c r="F152" t="s">
        <v>147</v>
      </c>
      <c r="G152" t="s">
        <v>246</v>
      </c>
      <c r="H152" t="s">
        <v>247</v>
      </c>
      <c r="K152" s="2">
        <v>0</v>
      </c>
      <c r="L152" s="3">
        <v>0</v>
      </c>
      <c r="N152" t="s">
        <v>174</v>
      </c>
      <c r="O152" t="s">
        <v>727</v>
      </c>
      <c r="P152" t="str">
        <f t="shared" si="6"/>
        <v>2025-10</v>
      </c>
      <c r="Q152">
        <f>IF(tblWO[[#This Row],[Status]]="Completed",1,
IF(tblWO[[#This Row],[Status]]="In Progress",2,
IF(tblWO[[#This Row],[Status]]="Planned",3,
IF(tblWO[[#This Row],[Status]]="Cancelled",4,99))))</f>
        <v>2</v>
      </c>
      <c r="R152">
        <f t="shared" si="7"/>
        <v>1</v>
      </c>
      <c r="S152" s="6" t="str">
        <f t="shared" si="8"/>
        <v>2025-10</v>
      </c>
    </row>
    <row r="153" spans="1:19">
      <c r="A153" t="s">
        <v>729</v>
      </c>
      <c r="B153" t="s">
        <v>50</v>
      </c>
      <c r="C153" t="s">
        <v>51</v>
      </c>
      <c r="D153" t="s">
        <v>158</v>
      </c>
      <c r="E153" t="s">
        <v>37</v>
      </c>
      <c r="F153" t="s">
        <v>138</v>
      </c>
      <c r="G153" t="s">
        <v>281</v>
      </c>
      <c r="H153" t="s">
        <v>282</v>
      </c>
      <c r="I153" t="s">
        <v>282</v>
      </c>
      <c r="J153" t="s">
        <v>730</v>
      </c>
      <c r="K153" s="2">
        <v>9.9</v>
      </c>
      <c r="L153" s="3">
        <v>253296.2</v>
      </c>
      <c r="M153" t="s">
        <v>142</v>
      </c>
      <c r="N153" t="s">
        <v>185</v>
      </c>
      <c r="O153" t="s">
        <v>727</v>
      </c>
      <c r="P153" t="str">
        <f t="shared" si="6"/>
        <v>2025-12</v>
      </c>
      <c r="Q153">
        <f>IF(tblWO[[#This Row],[Status]]="Completed",1,
IF(tblWO[[#This Row],[Status]]="In Progress",2,
IF(tblWO[[#This Row],[Status]]="Planned",3,
IF(tblWO[[#This Row],[Status]]="Cancelled",4,99))))</f>
        <v>1</v>
      </c>
      <c r="R153">
        <f t="shared" si="7"/>
        <v>1</v>
      </c>
      <c r="S153" s="6" t="str">
        <f t="shared" si="8"/>
        <v>2025-12</v>
      </c>
    </row>
    <row r="154" spans="1:19">
      <c r="A154" t="s">
        <v>731</v>
      </c>
      <c r="B154" t="s">
        <v>50</v>
      </c>
      <c r="C154" t="s">
        <v>51</v>
      </c>
      <c r="D154" t="s">
        <v>146</v>
      </c>
      <c r="E154" t="s">
        <v>37</v>
      </c>
      <c r="F154" t="s">
        <v>138</v>
      </c>
      <c r="G154" t="s">
        <v>272</v>
      </c>
      <c r="H154" t="s">
        <v>273</v>
      </c>
      <c r="I154" t="s">
        <v>273</v>
      </c>
      <c r="J154" t="s">
        <v>732</v>
      </c>
      <c r="K154" s="2">
        <v>8.3000000000000007</v>
      </c>
      <c r="L154" s="3">
        <v>479067.31</v>
      </c>
      <c r="M154" t="s">
        <v>213</v>
      </c>
      <c r="N154" t="s">
        <v>156</v>
      </c>
      <c r="O154" t="s">
        <v>733</v>
      </c>
      <c r="P154" t="str">
        <f t="shared" si="6"/>
        <v>2025-09</v>
      </c>
      <c r="Q154">
        <f>IF(tblWO[[#This Row],[Status]]="Completed",1,
IF(tblWO[[#This Row],[Status]]="In Progress",2,
IF(tblWO[[#This Row],[Status]]="Planned",3,
IF(tblWO[[#This Row],[Status]]="Cancelled",4,99))))</f>
        <v>1</v>
      </c>
      <c r="R154">
        <f t="shared" si="7"/>
        <v>3</v>
      </c>
      <c r="S154" s="6" t="str">
        <f t="shared" si="8"/>
        <v>2025-09</v>
      </c>
    </row>
    <row r="155" spans="1:19">
      <c r="A155" t="s">
        <v>734</v>
      </c>
      <c r="B155" t="s">
        <v>50</v>
      </c>
      <c r="C155" t="s">
        <v>51</v>
      </c>
      <c r="D155" t="s">
        <v>158</v>
      </c>
      <c r="E155" t="s">
        <v>45</v>
      </c>
      <c r="F155" t="s">
        <v>138</v>
      </c>
      <c r="G155" t="s">
        <v>735</v>
      </c>
      <c r="H155" t="s">
        <v>736</v>
      </c>
      <c r="I155" t="s">
        <v>736</v>
      </c>
      <c r="J155" t="s">
        <v>737</v>
      </c>
      <c r="K155" s="2">
        <v>7.1</v>
      </c>
      <c r="L155" s="3">
        <v>184942.69</v>
      </c>
      <c r="M155" t="s">
        <v>142</v>
      </c>
      <c r="N155" t="s">
        <v>162</v>
      </c>
      <c r="O155" t="s">
        <v>727</v>
      </c>
      <c r="P155" t="str">
        <f t="shared" si="6"/>
        <v>2025-03</v>
      </c>
      <c r="Q155">
        <f>IF(tblWO[[#This Row],[Status]]="Completed",1,
IF(tblWO[[#This Row],[Status]]="In Progress",2,
IF(tblWO[[#This Row],[Status]]="Planned",3,
IF(tblWO[[#This Row],[Status]]="Cancelled",4,99))))</f>
        <v>1</v>
      </c>
      <c r="R155">
        <f t="shared" si="7"/>
        <v>1</v>
      </c>
      <c r="S155" s="6" t="str">
        <f t="shared" si="8"/>
        <v>2025-03</v>
      </c>
    </row>
    <row r="156" spans="1:19">
      <c r="A156" t="s">
        <v>738</v>
      </c>
      <c r="B156" t="s">
        <v>50</v>
      </c>
      <c r="C156" t="s">
        <v>51</v>
      </c>
      <c r="D156" t="s">
        <v>146</v>
      </c>
      <c r="E156" t="s">
        <v>37</v>
      </c>
      <c r="F156" t="s">
        <v>138</v>
      </c>
      <c r="G156" t="s">
        <v>215</v>
      </c>
      <c r="H156" t="s">
        <v>216</v>
      </c>
      <c r="I156" t="s">
        <v>216</v>
      </c>
      <c r="J156" t="s">
        <v>739</v>
      </c>
      <c r="K156" s="2">
        <v>17.899999999999999</v>
      </c>
      <c r="L156" s="3">
        <v>349896.19</v>
      </c>
      <c r="M156" t="s">
        <v>173</v>
      </c>
      <c r="N156" t="s">
        <v>143</v>
      </c>
      <c r="O156" t="s">
        <v>733</v>
      </c>
      <c r="P156" t="str">
        <f t="shared" si="6"/>
        <v>2025-02</v>
      </c>
      <c r="Q156">
        <f>IF(tblWO[[#This Row],[Status]]="Completed",1,
IF(tblWO[[#This Row],[Status]]="In Progress",2,
IF(tblWO[[#This Row],[Status]]="Planned",3,
IF(tblWO[[#This Row],[Status]]="Cancelled",4,99))))</f>
        <v>1</v>
      </c>
      <c r="R156">
        <f t="shared" si="7"/>
        <v>3</v>
      </c>
      <c r="S156" s="6" t="str">
        <f t="shared" si="8"/>
        <v>2025-02</v>
      </c>
    </row>
    <row r="157" spans="1:19">
      <c r="A157" t="s">
        <v>740</v>
      </c>
      <c r="B157" t="s">
        <v>50</v>
      </c>
      <c r="C157" t="s">
        <v>51</v>
      </c>
      <c r="D157" t="s">
        <v>169</v>
      </c>
      <c r="E157" t="s">
        <v>32</v>
      </c>
      <c r="F157" t="s">
        <v>138</v>
      </c>
      <c r="G157" t="s">
        <v>177</v>
      </c>
      <c r="H157" t="s">
        <v>178</v>
      </c>
      <c r="I157" t="s">
        <v>178</v>
      </c>
      <c r="J157" t="s">
        <v>741</v>
      </c>
      <c r="K157" s="2">
        <v>32.4</v>
      </c>
      <c r="L157" s="3">
        <v>651434.69999999995</v>
      </c>
      <c r="M157" t="s">
        <v>670</v>
      </c>
      <c r="N157" t="s">
        <v>156</v>
      </c>
      <c r="O157" t="s">
        <v>742</v>
      </c>
      <c r="P157" t="str">
        <f t="shared" si="6"/>
        <v>2025-07</v>
      </c>
      <c r="Q157">
        <f>IF(tblWO[[#This Row],[Status]]="Completed",1,
IF(tblWO[[#This Row],[Status]]="In Progress",2,
IF(tblWO[[#This Row],[Status]]="Planned",3,
IF(tblWO[[#This Row],[Status]]="Cancelled",4,99))))</f>
        <v>1</v>
      </c>
      <c r="R157">
        <f t="shared" si="7"/>
        <v>4</v>
      </c>
      <c r="S157" s="6" t="str">
        <f t="shared" si="8"/>
        <v>2025-07</v>
      </c>
    </row>
    <row r="158" spans="1:19">
      <c r="A158" t="s">
        <v>743</v>
      </c>
      <c r="B158" t="s">
        <v>50</v>
      </c>
      <c r="C158" t="s">
        <v>51</v>
      </c>
      <c r="D158" t="s">
        <v>158</v>
      </c>
      <c r="E158" t="s">
        <v>45</v>
      </c>
      <c r="F158" t="s">
        <v>138</v>
      </c>
      <c r="G158" t="s">
        <v>744</v>
      </c>
      <c r="H158" t="s">
        <v>745</v>
      </c>
      <c r="I158" t="s">
        <v>745</v>
      </c>
      <c r="J158" t="s">
        <v>746</v>
      </c>
      <c r="K158" s="2">
        <v>10.4</v>
      </c>
      <c r="L158" s="3">
        <v>141960.24</v>
      </c>
      <c r="M158" t="s">
        <v>142</v>
      </c>
      <c r="N158" t="s">
        <v>156</v>
      </c>
      <c r="O158" t="s">
        <v>727</v>
      </c>
      <c r="P158" t="str">
        <f t="shared" si="6"/>
        <v>2025-04</v>
      </c>
      <c r="Q158">
        <f>IF(tblWO[[#This Row],[Status]]="Completed",1,
IF(tblWO[[#This Row],[Status]]="In Progress",2,
IF(tblWO[[#This Row],[Status]]="Planned",3,
IF(tblWO[[#This Row],[Status]]="Cancelled",4,99))))</f>
        <v>1</v>
      </c>
      <c r="R158">
        <f t="shared" si="7"/>
        <v>1</v>
      </c>
      <c r="S158" s="6" t="str">
        <f t="shared" si="8"/>
        <v>2025-04</v>
      </c>
    </row>
    <row r="159" spans="1:19">
      <c r="A159" t="s">
        <v>747</v>
      </c>
      <c r="B159" t="s">
        <v>50</v>
      </c>
      <c r="C159" t="s">
        <v>51</v>
      </c>
      <c r="D159" t="s">
        <v>158</v>
      </c>
      <c r="E159" t="s">
        <v>45</v>
      </c>
      <c r="F159" t="s">
        <v>138</v>
      </c>
      <c r="G159" t="s">
        <v>720</v>
      </c>
      <c r="H159" t="s">
        <v>721</v>
      </c>
      <c r="I159" t="s">
        <v>721</v>
      </c>
      <c r="J159" t="s">
        <v>748</v>
      </c>
      <c r="K159" s="2">
        <v>3.6</v>
      </c>
      <c r="L159" s="3">
        <v>99924.43</v>
      </c>
      <c r="M159" t="s">
        <v>142</v>
      </c>
      <c r="N159" t="s">
        <v>143</v>
      </c>
      <c r="O159" t="s">
        <v>727</v>
      </c>
      <c r="P159" t="str">
        <f t="shared" si="6"/>
        <v>2025-05</v>
      </c>
      <c r="Q159">
        <f>IF(tblWO[[#This Row],[Status]]="Completed",1,
IF(tblWO[[#This Row],[Status]]="In Progress",2,
IF(tblWO[[#This Row],[Status]]="Planned",3,
IF(tblWO[[#This Row],[Status]]="Cancelled",4,99))))</f>
        <v>1</v>
      </c>
      <c r="R159">
        <f t="shared" si="7"/>
        <v>1</v>
      </c>
      <c r="S159" s="6" t="str">
        <f t="shared" si="8"/>
        <v>2025-05</v>
      </c>
    </row>
    <row r="160" spans="1:19">
      <c r="A160" t="s">
        <v>749</v>
      </c>
      <c r="B160" t="s">
        <v>50</v>
      </c>
      <c r="C160" t="s">
        <v>51</v>
      </c>
      <c r="D160" t="s">
        <v>137</v>
      </c>
      <c r="E160" t="s">
        <v>45</v>
      </c>
      <c r="F160" t="s">
        <v>147</v>
      </c>
      <c r="G160" t="s">
        <v>236</v>
      </c>
      <c r="H160" t="s">
        <v>237</v>
      </c>
      <c r="K160" s="2">
        <v>0</v>
      </c>
      <c r="L160" s="3">
        <v>0</v>
      </c>
      <c r="N160" t="s">
        <v>185</v>
      </c>
      <c r="O160" t="s">
        <v>750</v>
      </c>
      <c r="P160" t="str">
        <f t="shared" si="6"/>
        <v>2025-01</v>
      </c>
      <c r="Q160">
        <f>IF(tblWO[[#This Row],[Status]]="Completed",1,
IF(tblWO[[#This Row],[Status]]="In Progress",2,
IF(tblWO[[#This Row],[Status]]="Planned",3,
IF(tblWO[[#This Row],[Status]]="Cancelled",4,99))))</f>
        <v>2</v>
      </c>
      <c r="R160">
        <f t="shared" si="7"/>
        <v>2</v>
      </c>
      <c r="S160" s="6" t="str">
        <f t="shared" si="8"/>
        <v>2025-01</v>
      </c>
    </row>
    <row r="161" spans="1:19">
      <c r="A161" t="s">
        <v>751</v>
      </c>
      <c r="B161" t="s">
        <v>50</v>
      </c>
      <c r="C161" t="s">
        <v>51</v>
      </c>
      <c r="D161" t="s">
        <v>169</v>
      </c>
      <c r="E161" t="s">
        <v>37</v>
      </c>
      <c r="F161" t="s">
        <v>138</v>
      </c>
      <c r="G161" t="s">
        <v>752</v>
      </c>
      <c r="H161" t="s">
        <v>753</v>
      </c>
      <c r="I161" t="s">
        <v>753</v>
      </c>
      <c r="J161" t="s">
        <v>754</v>
      </c>
      <c r="K161" s="2">
        <v>44.2</v>
      </c>
      <c r="L161" s="3">
        <v>288409.19</v>
      </c>
      <c r="M161" t="s">
        <v>390</v>
      </c>
      <c r="N161" t="s">
        <v>174</v>
      </c>
      <c r="O161" t="s">
        <v>742</v>
      </c>
      <c r="P161" t="str">
        <f t="shared" si="6"/>
        <v>2025-02</v>
      </c>
      <c r="Q161">
        <f>IF(tblWO[[#This Row],[Status]]="Completed",1,
IF(tblWO[[#This Row],[Status]]="In Progress",2,
IF(tblWO[[#This Row],[Status]]="Planned",3,
IF(tblWO[[#This Row],[Status]]="Cancelled",4,99))))</f>
        <v>1</v>
      </c>
      <c r="R161">
        <f t="shared" si="7"/>
        <v>4</v>
      </c>
      <c r="S161" s="6" t="str">
        <f t="shared" si="8"/>
        <v>2025-02</v>
      </c>
    </row>
    <row r="162" spans="1:19">
      <c r="A162" t="s">
        <v>755</v>
      </c>
      <c r="B162" t="s">
        <v>50</v>
      </c>
      <c r="C162" t="s">
        <v>51</v>
      </c>
      <c r="D162" t="s">
        <v>158</v>
      </c>
      <c r="E162" t="s">
        <v>32</v>
      </c>
      <c r="F162" t="s">
        <v>147</v>
      </c>
      <c r="G162" t="s">
        <v>756</v>
      </c>
      <c r="H162" t="s">
        <v>757</v>
      </c>
      <c r="K162" s="2">
        <v>0</v>
      </c>
      <c r="L162" s="3">
        <v>0</v>
      </c>
      <c r="N162" t="s">
        <v>174</v>
      </c>
      <c r="O162" t="s">
        <v>727</v>
      </c>
      <c r="P162" t="str">
        <f t="shared" si="6"/>
        <v>2025-04</v>
      </c>
      <c r="Q162">
        <f>IF(tblWO[[#This Row],[Status]]="Completed",1,
IF(tblWO[[#This Row],[Status]]="In Progress",2,
IF(tblWO[[#This Row],[Status]]="Planned",3,
IF(tblWO[[#This Row],[Status]]="Cancelled",4,99))))</f>
        <v>2</v>
      </c>
      <c r="R162">
        <f t="shared" si="7"/>
        <v>1</v>
      </c>
      <c r="S162" s="6" t="str">
        <f t="shared" si="8"/>
        <v>2025-04</v>
      </c>
    </row>
    <row r="163" spans="1:19">
      <c r="A163" t="s">
        <v>758</v>
      </c>
      <c r="B163" t="s">
        <v>50</v>
      </c>
      <c r="C163" t="s">
        <v>51</v>
      </c>
      <c r="D163" t="s">
        <v>158</v>
      </c>
      <c r="E163" t="s">
        <v>10</v>
      </c>
      <c r="F163" t="s">
        <v>138</v>
      </c>
      <c r="G163" t="s">
        <v>759</v>
      </c>
      <c r="H163" t="s">
        <v>760</v>
      </c>
      <c r="I163" t="s">
        <v>760</v>
      </c>
      <c r="J163" t="s">
        <v>761</v>
      </c>
      <c r="K163" s="2">
        <v>4.2</v>
      </c>
      <c r="L163" s="3">
        <v>129671.22</v>
      </c>
      <c r="M163" t="s">
        <v>142</v>
      </c>
      <c r="N163" t="s">
        <v>185</v>
      </c>
      <c r="O163" t="s">
        <v>727</v>
      </c>
      <c r="P163" t="str">
        <f t="shared" si="6"/>
        <v>2025-09</v>
      </c>
      <c r="Q163">
        <f>IF(tblWO[[#This Row],[Status]]="Completed",1,
IF(tblWO[[#This Row],[Status]]="In Progress",2,
IF(tblWO[[#This Row],[Status]]="Planned",3,
IF(tblWO[[#This Row],[Status]]="Cancelled",4,99))))</f>
        <v>1</v>
      </c>
      <c r="R163">
        <f t="shared" si="7"/>
        <v>1</v>
      </c>
      <c r="S163" s="6" t="str">
        <f t="shared" si="8"/>
        <v>2025-09</v>
      </c>
    </row>
    <row r="164" spans="1:19">
      <c r="A164" t="s">
        <v>762</v>
      </c>
      <c r="B164" t="s">
        <v>50</v>
      </c>
      <c r="C164" t="s">
        <v>51</v>
      </c>
      <c r="D164" t="s">
        <v>169</v>
      </c>
      <c r="E164" t="s">
        <v>37</v>
      </c>
      <c r="F164" t="s">
        <v>138</v>
      </c>
      <c r="G164" t="s">
        <v>763</v>
      </c>
      <c r="H164" t="s">
        <v>764</v>
      </c>
      <c r="I164" t="s">
        <v>764</v>
      </c>
      <c r="J164" t="s">
        <v>765</v>
      </c>
      <c r="K164" s="2">
        <v>41.2</v>
      </c>
      <c r="L164" s="3">
        <v>617643.18999999994</v>
      </c>
      <c r="M164" t="s">
        <v>563</v>
      </c>
      <c r="N164" t="s">
        <v>143</v>
      </c>
      <c r="O164" t="s">
        <v>742</v>
      </c>
      <c r="P164" t="str">
        <f t="shared" si="6"/>
        <v>2025-06</v>
      </c>
      <c r="Q164">
        <f>IF(tblWO[[#This Row],[Status]]="Completed",1,
IF(tblWO[[#This Row],[Status]]="In Progress",2,
IF(tblWO[[#This Row],[Status]]="Planned",3,
IF(tblWO[[#This Row],[Status]]="Cancelled",4,99))))</f>
        <v>1</v>
      </c>
      <c r="R164">
        <f t="shared" si="7"/>
        <v>4</v>
      </c>
      <c r="S164" s="6" t="str">
        <f t="shared" si="8"/>
        <v>2025-06</v>
      </c>
    </row>
    <row r="165" spans="1:19">
      <c r="A165" t="s">
        <v>766</v>
      </c>
      <c r="B165" t="s">
        <v>50</v>
      </c>
      <c r="C165" t="s">
        <v>51</v>
      </c>
      <c r="D165" t="s">
        <v>169</v>
      </c>
      <c r="E165" t="s">
        <v>10</v>
      </c>
      <c r="F165" t="s">
        <v>147</v>
      </c>
      <c r="G165" t="s">
        <v>767</v>
      </c>
      <c r="H165" t="s">
        <v>768</v>
      </c>
      <c r="K165" s="2">
        <v>0</v>
      </c>
      <c r="L165" s="3">
        <v>0</v>
      </c>
      <c r="N165" t="s">
        <v>150</v>
      </c>
      <c r="O165" t="s">
        <v>742</v>
      </c>
      <c r="P165" t="str">
        <f t="shared" si="6"/>
        <v>2025-08</v>
      </c>
      <c r="Q165">
        <f>IF(tblWO[[#This Row],[Status]]="Completed",1,
IF(tblWO[[#This Row],[Status]]="In Progress",2,
IF(tblWO[[#This Row],[Status]]="Planned",3,
IF(tblWO[[#This Row],[Status]]="Cancelled",4,99))))</f>
        <v>2</v>
      </c>
      <c r="R165">
        <f t="shared" si="7"/>
        <v>4</v>
      </c>
      <c r="S165" s="6" t="str">
        <f t="shared" si="8"/>
        <v>2025-08</v>
      </c>
    </row>
    <row r="166" spans="1:19">
      <c r="A166" t="s">
        <v>769</v>
      </c>
      <c r="B166" t="s">
        <v>50</v>
      </c>
      <c r="C166" t="s">
        <v>51</v>
      </c>
      <c r="D166" t="s">
        <v>169</v>
      </c>
      <c r="E166" t="s">
        <v>37</v>
      </c>
      <c r="F166" t="s">
        <v>138</v>
      </c>
      <c r="G166" t="s">
        <v>770</v>
      </c>
      <c r="H166" t="s">
        <v>771</v>
      </c>
      <c r="I166" t="s">
        <v>771</v>
      </c>
      <c r="J166" t="s">
        <v>772</v>
      </c>
      <c r="K166" s="2">
        <v>20</v>
      </c>
      <c r="L166" s="3">
        <v>228649.67</v>
      </c>
      <c r="M166" t="s">
        <v>390</v>
      </c>
      <c r="N166" t="s">
        <v>174</v>
      </c>
      <c r="O166" t="s">
        <v>742</v>
      </c>
      <c r="P166" t="str">
        <f t="shared" si="6"/>
        <v>2025-10</v>
      </c>
      <c r="Q166">
        <f>IF(tblWO[[#This Row],[Status]]="Completed",1,
IF(tblWO[[#This Row],[Status]]="In Progress",2,
IF(tblWO[[#This Row],[Status]]="Planned",3,
IF(tblWO[[#This Row],[Status]]="Cancelled",4,99))))</f>
        <v>1</v>
      </c>
      <c r="R166">
        <f t="shared" si="7"/>
        <v>4</v>
      </c>
      <c r="S166" s="6" t="str">
        <f t="shared" si="8"/>
        <v>2025-10</v>
      </c>
    </row>
    <row r="167" spans="1:19">
      <c r="A167" t="s">
        <v>773</v>
      </c>
      <c r="B167" t="s">
        <v>55</v>
      </c>
      <c r="C167" t="s">
        <v>56</v>
      </c>
      <c r="D167" t="s">
        <v>158</v>
      </c>
      <c r="E167" t="s">
        <v>45</v>
      </c>
      <c r="F167" t="s">
        <v>138</v>
      </c>
      <c r="G167" t="s">
        <v>774</v>
      </c>
      <c r="H167" t="s">
        <v>775</v>
      </c>
      <c r="I167" t="s">
        <v>775</v>
      </c>
      <c r="J167" t="s">
        <v>776</v>
      </c>
      <c r="K167" s="2">
        <v>4.4000000000000004</v>
      </c>
      <c r="L167" s="3">
        <v>85894.21</v>
      </c>
      <c r="M167" t="s">
        <v>142</v>
      </c>
      <c r="N167" t="s">
        <v>174</v>
      </c>
      <c r="O167" t="s">
        <v>777</v>
      </c>
      <c r="P167" t="str">
        <f t="shared" si="6"/>
        <v>2025-09</v>
      </c>
      <c r="Q167">
        <f>IF(tblWO[[#This Row],[Status]]="Completed",1,
IF(tblWO[[#This Row],[Status]]="In Progress",2,
IF(tblWO[[#This Row],[Status]]="Planned",3,
IF(tblWO[[#This Row],[Status]]="Cancelled",4,99))))</f>
        <v>1</v>
      </c>
      <c r="R167">
        <f t="shared" si="7"/>
        <v>1</v>
      </c>
      <c r="S167" s="6" t="str">
        <f t="shared" si="8"/>
        <v>2025-09</v>
      </c>
    </row>
    <row r="168" spans="1:19">
      <c r="A168" t="s">
        <v>778</v>
      </c>
      <c r="B168" t="s">
        <v>55</v>
      </c>
      <c r="C168" t="s">
        <v>56</v>
      </c>
      <c r="D168" t="s">
        <v>158</v>
      </c>
      <c r="E168" t="s">
        <v>45</v>
      </c>
      <c r="F168" t="s">
        <v>138</v>
      </c>
      <c r="G168" t="s">
        <v>779</v>
      </c>
      <c r="H168" t="s">
        <v>780</v>
      </c>
      <c r="I168" t="s">
        <v>780</v>
      </c>
      <c r="J168" t="s">
        <v>781</v>
      </c>
      <c r="K168" s="2">
        <v>2.9</v>
      </c>
      <c r="L168" s="3">
        <v>293663.62</v>
      </c>
      <c r="M168" t="s">
        <v>142</v>
      </c>
      <c r="N168" t="s">
        <v>185</v>
      </c>
      <c r="O168" t="s">
        <v>777</v>
      </c>
      <c r="P168" t="str">
        <f t="shared" si="6"/>
        <v>2025-06</v>
      </c>
      <c r="Q168">
        <f>IF(tblWO[[#This Row],[Status]]="Completed",1,
IF(tblWO[[#This Row],[Status]]="In Progress",2,
IF(tblWO[[#This Row],[Status]]="Planned",3,
IF(tblWO[[#This Row],[Status]]="Cancelled",4,99))))</f>
        <v>1</v>
      </c>
      <c r="R168">
        <f t="shared" si="7"/>
        <v>1</v>
      </c>
      <c r="S168" s="6" t="str">
        <f t="shared" si="8"/>
        <v>2025-06</v>
      </c>
    </row>
    <row r="169" spans="1:19">
      <c r="A169" t="s">
        <v>782</v>
      </c>
      <c r="B169" t="s">
        <v>55</v>
      </c>
      <c r="C169" t="s">
        <v>56</v>
      </c>
      <c r="D169" t="s">
        <v>463</v>
      </c>
      <c r="E169" t="s">
        <v>45</v>
      </c>
      <c r="F169" t="s">
        <v>271</v>
      </c>
      <c r="G169" t="s">
        <v>451</v>
      </c>
      <c r="H169" t="s">
        <v>452</v>
      </c>
      <c r="K169" s="2">
        <v>0</v>
      </c>
      <c r="L169" s="3">
        <v>0</v>
      </c>
      <c r="N169" t="s">
        <v>174</v>
      </c>
      <c r="O169" t="s">
        <v>783</v>
      </c>
      <c r="P169" t="str">
        <f t="shared" si="6"/>
        <v>2025-09</v>
      </c>
      <c r="Q169">
        <f>IF(tblWO[[#This Row],[Status]]="Completed",1,
IF(tblWO[[#This Row],[Status]]="In Progress",2,
IF(tblWO[[#This Row],[Status]]="Planned",3,
IF(tblWO[[#This Row],[Status]]="Cancelled",4,99))))</f>
        <v>4</v>
      </c>
      <c r="R169">
        <f t="shared" si="7"/>
        <v>5</v>
      </c>
      <c r="S169" s="6" t="str">
        <f t="shared" si="8"/>
        <v>2025-09</v>
      </c>
    </row>
    <row r="170" spans="1:19">
      <c r="A170" t="s">
        <v>784</v>
      </c>
      <c r="B170" t="s">
        <v>55</v>
      </c>
      <c r="C170" t="s">
        <v>56</v>
      </c>
      <c r="D170" t="s">
        <v>137</v>
      </c>
      <c r="E170" t="s">
        <v>37</v>
      </c>
      <c r="F170" t="s">
        <v>271</v>
      </c>
      <c r="G170" t="s">
        <v>785</v>
      </c>
      <c r="H170" t="s">
        <v>786</v>
      </c>
      <c r="K170" s="2">
        <v>0</v>
      </c>
      <c r="L170" s="3">
        <v>0</v>
      </c>
      <c r="N170" t="s">
        <v>162</v>
      </c>
      <c r="O170" t="s">
        <v>787</v>
      </c>
      <c r="P170" t="str">
        <f t="shared" si="6"/>
        <v>2025-01</v>
      </c>
      <c r="Q170">
        <f>IF(tblWO[[#This Row],[Status]]="Completed",1,
IF(tblWO[[#This Row],[Status]]="In Progress",2,
IF(tblWO[[#This Row],[Status]]="Planned",3,
IF(tblWO[[#This Row],[Status]]="Cancelled",4,99))))</f>
        <v>4</v>
      </c>
      <c r="R170">
        <f t="shared" si="7"/>
        <v>2</v>
      </c>
      <c r="S170" s="6" t="str">
        <f t="shared" si="8"/>
        <v>2025-01</v>
      </c>
    </row>
    <row r="171" spans="1:19">
      <c r="A171" t="s">
        <v>788</v>
      </c>
      <c r="B171" t="s">
        <v>55</v>
      </c>
      <c r="C171" t="s">
        <v>56</v>
      </c>
      <c r="D171" t="s">
        <v>158</v>
      </c>
      <c r="E171" t="s">
        <v>45</v>
      </c>
      <c r="F171" t="s">
        <v>138</v>
      </c>
      <c r="G171" t="s">
        <v>206</v>
      </c>
      <c r="H171" t="s">
        <v>207</v>
      </c>
      <c r="I171" t="s">
        <v>207</v>
      </c>
      <c r="J171" t="s">
        <v>789</v>
      </c>
      <c r="K171" s="2">
        <v>9.6999999999999993</v>
      </c>
      <c r="L171" s="3">
        <v>233796.75</v>
      </c>
      <c r="M171" t="s">
        <v>142</v>
      </c>
      <c r="N171" t="s">
        <v>342</v>
      </c>
      <c r="O171" t="s">
        <v>777</v>
      </c>
      <c r="P171" t="str">
        <f t="shared" si="6"/>
        <v>2025-01</v>
      </c>
      <c r="Q171">
        <f>IF(tblWO[[#This Row],[Status]]="Completed",1,
IF(tblWO[[#This Row],[Status]]="In Progress",2,
IF(tblWO[[#This Row],[Status]]="Planned",3,
IF(tblWO[[#This Row],[Status]]="Cancelled",4,99))))</f>
        <v>1</v>
      </c>
      <c r="R171">
        <f t="shared" si="7"/>
        <v>1</v>
      </c>
      <c r="S171" s="6" t="str">
        <f t="shared" si="8"/>
        <v>2025-01</v>
      </c>
    </row>
    <row r="172" spans="1:19">
      <c r="A172" t="s">
        <v>790</v>
      </c>
      <c r="B172" t="s">
        <v>55</v>
      </c>
      <c r="C172" t="s">
        <v>56</v>
      </c>
      <c r="D172" t="s">
        <v>158</v>
      </c>
      <c r="E172" t="s">
        <v>37</v>
      </c>
      <c r="F172" t="s">
        <v>138</v>
      </c>
      <c r="G172" t="s">
        <v>779</v>
      </c>
      <c r="H172" t="s">
        <v>780</v>
      </c>
      <c r="I172" t="s">
        <v>780</v>
      </c>
      <c r="J172" t="s">
        <v>791</v>
      </c>
      <c r="K172" s="2">
        <v>9.8000000000000007</v>
      </c>
      <c r="L172" s="3">
        <v>166155.72</v>
      </c>
      <c r="M172" t="s">
        <v>142</v>
      </c>
      <c r="N172" t="s">
        <v>156</v>
      </c>
      <c r="O172" t="s">
        <v>777</v>
      </c>
      <c r="P172" t="str">
        <f t="shared" si="6"/>
        <v>2025-06</v>
      </c>
      <c r="Q172">
        <f>IF(tblWO[[#This Row],[Status]]="Completed",1,
IF(tblWO[[#This Row],[Status]]="In Progress",2,
IF(tblWO[[#This Row],[Status]]="Planned",3,
IF(tblWO[[#This Row],[Status]]="Cancelled",4,99))))</f>
        <v>1</v>
      </c>
      <c r="R172">
        <f t="shared" si="7"/>
        <v>1</v>
      </c>
      <c r="S172" s="6" t="str">
        <f t="shared" si="8"/>
        <v>2025-06</v>
      </c>
    </row>
    <row r="173" spans="1:19">
      <c r="A173" t="s">
        <v>792</v>
      </c>
      <c r="B173" t="s">
        <v>55</v>
      </c>
      <c r="C173" t="s">
        <v>56</v>
      </c>
      <c r="D173" t="s">
        <v>146</v>
      </c>
      <c r="E173" t="s">
        <v>10</v>
      </c>
      <c r="F173" t="s">
        <v>202</v>
      </c>
      <c r="G173" t="s">
        <v>793</v>
      </c>
      <c r="H173" t="s">
        <v>794</v>
      </c>
      <c r="K173" s="2">
        <v>0</v>
      </c>
      <c r="L173" s="3">
        <v>0</v>
      </c>
      <c r="N173" t="s">
        <v>150</v>
      </c>
      <c r="O173" t="s">
        <v>795</v>
      </c>
      <c r="P173" t="str">
        <f t="shared" si="6"/>
        <v>2025-01</v>
      </c>
      <c r="Q173">
        <f>IF(tblWO[[#This Row],[Status]]="Completed",1,
IF(tblWO[[#This Row],[Status]]="In Progress",2,
IF(tblWO[[#This Row],[Status]]="Planned",3,
IF(tblWO[[#This Row],[Status]]="Cancelled",4,99))))</f>
        <v>3</v>
      </c>
      <c r="R173">
        <f t="shared" si="7"/>
        <v>3</v>
      </c>
      <c r="S173" s="6" t="str">
        <f t="shared" si="8"/>
        <v>2025-01</v>
      </c>
    </row>
    <row r="174" spans="1:19">
      <c r="A174" t="s">
        <v>796</v>
      </c>
      <c r="B174" t="s">
        <v>55</v>
      </c>
      <c r="C174" t="s">
        <v>56</v>
      </c>
      <c r="D174" t="s">
        <v>158</v>
      </c>
      <c r="E174" t="s">
        <v>37</v>
      </c>
      <c r="F174" t="s">
        <v>138</v>
      </c>
      <c r="G174" t="s">
        <v>797</v>
      </c>
      <c r="H174" t="s">
        <v>798</v>
      </c>
      <c r="I174" t="s">
        <v>798</v>
      </c>
      <c r="J174" t="s">
        <v>799</v>
      </c>
      <c r="K174" s="2">
        <v>6</v>
      </c>
      <c r="L174" s="3">
        <v>253851.51999999999</v>
      </c>
      <c r="M174" t="s">
        <v>142</v>
      </c>
      <c r="N174" t="s">
        <v>156</v>
      </c>
      <c r="O174" t="s">
        <v>777</v>
      </c>
      <c r="P174" t="str">
        <f t="shared" si="6"/>
        <v>2025-04</v>
      </c>
      <c r="Q174">
        <f>IF(tblWO[[#This Row],[Status]]="Completed",1,
IF(tblWO[[#This Row],[Status]]="In Progress",2,
IF(tblWO[[#This Row],[Status]]="Planned",3,
IF(tblWO[[#This Row],[Status]]="Cancelled",4,99))))</f>
        <v>1</v>
      </c>
      <c r="R174">
        <f t="shared" si="7"/>
        <v>1</v>
      </c>
      <c r="S174" s="6" t="str">
        <f t="shared" si="8"/>
        <v>2025-04</v>
      </c>
    </row>
    <row r="175" spans="1:19">
      <c r="A175" t="s">
        <v>800</v>
      </c>
      <c r="B175" t="s">
        <v>55</v>
      </c>
      <c r="C175" t="s">
        <v>56</v>
      </c>
      <c r="D175" t="s">
        <v>158</v>
      </c>
      <c r="E175" t="s">
        <v>45</v>
      </c>
      <c r="F175" t="s">
        <v>138</v>
      </c>
      <c r="G175" t="s">
        <v>801</v>
      </c>
      <c r="H175" t="s">
        <v>802</v>
      </c>
      <c r="I175" t="s">
        <v>802</v>
      </c>
      <c r="J175" t="s">
        <v>803</v>
      </c>
      <c r="K175" s="2">
        <v>10.7</v>
      </c>
      <c r="L175" s="3">
        <v>132981.17000000001</v>
      </c>
      <c r="M175" t="s">
        <v>142</v>
      </c>
      <c r="N175" t="s">
        <v>185</v>
      </c>
      <c r="O175" t="s">
        <v>777</v>
      </c>
      <c r="P175" t="str">
        <f t="shared" si="6"/>
        <v>2025-11</v>
      </c>
      <c r="Q175">
        <f>IF(tblWO[[#This Row],[Status]]="Completed",1,
IF(tblWO[[#This Row],[Status]]="In Progress",2,
IF(tblWO[[#This Row],[Status]]="Planned",3,
IF(tblWO[[#This Row],[Status]]="Cancelled",4,99))))</f>
        <v>1</v>
      </c>
      <c r="R175">
        <f t="shared" si="7"/>
        <v>1</v>
      </c>
      <c r="S175" s="6" t="str">
        <f t="shared" si="8"/>
        <v>2025-11</v>
      </c>
    </row>
    <row r="176" spans="1:19">
      <c r="A176" t="s">
        <v>804</v>
      </c>
      <c r="B176" t="s">
        <v>55</v>
      </c>
      <c r="C176" t="s">
        <v>56</v>
      </c>
      <c r="D176" t="s">
        <v>169</v>
      </c>
      <c r="E176" t="s">
        <v>37</v>
      </c>
      <c r="F176" t="s">
        <v>147</v>
      </c>
      <c r="G176" t="s">
        <v>805</v>
      </c>
      <c r="H176" t="s">
        <v>806</v>
      </c>
      <c r="K176" s="2">
        <v>0</v>
      </c>
      <c r="L176" s="3">
        <v>0</v>
      </c>
      <c r="N176" t="s">
        <v>143</v>
      </c>
      <c r="O176" t="s">
        <v>807</v>
      </c>
      <c r="P176" t="str">
        <f t="shared" si="6"/>
        <v>2025-07</v>
      </c>
      <c r="Q176">
        <f>IF(tblWO[[#This Row],[Status]]="Completed",1,
IF(tblWO[[#This Row],[Status]]="In Progress",2,
IF(tblWO[[#This Row],[Status]]="Planned",3,
IF(tblWO[[#This Row],[Status]]="Cancelled",4,99))))</f>
        <v>2</v>
      </c>
      <c r="R176">
        <f t="shared" si="7"/>
        <v>4</v>
      </c>
      <c r="S176" s="6" t="str">
        <f t="shared" si="8"/>
        <v>2025-07</v>
      </c>
    </row>
    <row r="177" spans="1:19">
      <c r="A177" t="s">
        <v>808</v>
      </c>
      <c r="B177" t="s">
        <v>55</v>
      </c>
      <c r="C177" t="s">
        <v>56</v>
      </c>
      <c r="D177" t="s">
        <v>158</v>
      </c>
      <c r="E177" t="s">
        <v>37</v>
      </c>
      <c r="F177" t="s">
        <v>138</v>
      </c>
      <c r="G177" t="s">
        <v>539</v>
      </c>
      <c r="H177" t="s">
        <v>540</v>
      </c>
      <c r="I177" t="s">
        <v>540</v>
      </c>
      <c r="J177" t="s">
        <v>809</v>
      </c>
      <c r="K177" s="2">
        <v>2.8</v>
      </c>
      <c r="L177" s="3">
        <v>156124.92000000001</v>
      </c>
      <c r="M177" t="s">
        <v>142</v>
      </c>
      <c r="N177" t="s">
        <v>174</v>
      </c>
      <c r="O177" t="s">
        <v>777</v>
      </c>
      <c r="P177" t="str">
        <f t="shared" si="6"/>
        <v>2025-09</v>
      </c>
      <c r="Q177">
        <f>IF(tblWO[[#This Row],[Status]]="Completed",1,
IF(tblWO[[#This Row],[Status]]="In Progress",2,
IF(tblWO[[#This Row],[Status]]="Planned",3,
IF(tblWO[[#This Row],[Status]]="Cancelled",4,99))))</f>
        <v>1</v>
      </c>
      <c r="R177">
        <f t="shared" si="7"/>
        <v>1</v>
      </c>
      <c r="S177" s="6" t="str">
        <f t="shared" si="8"/>
        <v>2025-09</v>
      </c>
    </row>
    <row r="178" spans="1:19">
      <c r="A178" t="s">
        <v>810</v>
      </c>
      <c r="B178" t="s">
        <v>55</v>
      </c>
      <c r="C178" t="s">
        <v>56</v>
      </c>
      <c r="D178" t="s">
        <v>146</v>
      </c>
      <c r="E178" t="s">
        <v>37</v>
      </c>
      <c r="F178" t="s">
        <v>138</v>
      </c>
      <c r="G178" t="s">
        <v>811</v>
      </c>
      <c r="H178" t="s">
        <v>812</v>
      </c>
      <c r="I178" t="s">
        <v>812</v>
      </c>
      <c r="J178" t="s">
        <v>813</v>
      </c>
      <c r="K178" s="2">
        <v>9.9</v>
      </c>
      <c r="L178" s="3">
        <v>278366.31</v>
      </c>
      <c r="M178" t="s">
        <v>234</v>
      </c>
      <c r="N178" t="s">
        <v>174</v>
      </c>
      <c r="O178" t="s">
        <v>795</v>
      </c>
      <c r="P178" t="str">
        <f t="shared" si="6"/>
        <v>2025-09</v>
      </c>
      <c r="Q178">
        <f>IF(tblWO[[#This Row],[Status]]="Completed",1,
IF(tblWO[[#This Row],[Status]]="In Progress",2,
IF(tblWO[[#This Row],[Status]]="Planned",3,
IF(tblWO[[#This Row],[Status]]="Cancelled",4,99))))</f>
        <v>1</v>
      </c>
      <c r="R178">
        <f t="shared" si="7"/>
        <v>3</v>
      </c>
      <c r="S178" s="6" t="str">
        <f t="shared" si="8"/>
        <v>2025-09</v>
      </c>
    </row>
    <row r="179" spans="1:19">
      <c r="A179" t="s">
        <v>814</v>
      </c>
      <c r="B179" t="s">
        <v>55</v>
      </c>
      <c r="C179" t="s">
        <v>56</v>
      </c>
      <c r="D179" t="s">
        <v>158</v>
      </c>
      <c r="E179" t="s">
        <v>32</v>
      </c>
      <c r="F179" t="s">
        <v>138</v>
      </c>
      <c r="G179" t="s">
        <v>815</v>
      </c>
      <c r="H179" t="s">
        <v>816</v>
      </c>
      <c r="I179" t="s">
        <v>816</v>
      </c>
      <c r="J179" t="s">
        <v>817</v>
      </c>
      <c r="K179" s="2">
        <v>5.5</v>
      </c>
      <c r="L179" s="3">
        <v>299537.65000000002</v>
      </c>
      <c r="M179" t="s">
        <v>142</v>
      </c>
      <c r="N179" t="s">
        <v>239</v>
      </c>
      <c r="O179" t="s">
        <v>777</v>
      </c>
      <c r="P179" t="str">
        <f t="shared" si="6"/>
        <v>2025-08</v>
      </c>
      <c r="Q179">
        <f>IF(tblWO[[#This Row],[Status]]="Completed",1,
IF(tblWO[[#This Row],[Status]]="In Progress",2,
IF(tblWO[[#This Row],[Status]]="Planned",3,
IF(tblWO[[#This Row],[Status]]="Cancelled",4,99))))</f>
        <v>1</v>
      </c>
      <c r="R179">
        <f t="shared" si="7"/>
        <v>1</v>
      </c>
      <c r="S179" s="6" t="str">
        <f t="shared" si="8"/>
        <v>2025-08</v>
      </c>
    </row>
    <row r="180" spans="1:19">
      <c r="A180" t="s">
        <v>818</v>
      </c>
      <c r="B180" t="s">
        <v>55</v>
      </c>
      <c r="C180" t="s">
        <v>56</v>
      </c>
      <c r="D180" t="s">
        <v>146</v>
      </c>
      <c r="E180" t="s">
        <v>45</v>
      </c>
      <c r="F180" t="s">
        <v>138</v>
      </c>
      <c r="G180" t="s">
        <v>819</v>
      </c>
      <c r="H180" t="s">
        <v>820</v>
      </c>
      <c r="I180" t="s">
        <v>820</v>
      </c>
      <c r="J180" t="s">
        <v>821</v>
      </c>
      <c r="K180" s="2">
        <v>19</v>
      </c>
      <c r="L180" s="3">
        <v>163994.69</v>
      </c>
      <c r="M180" t="s">
        <v>670</v>
      </c>
      <c r="N180" t="s">
        <v>162</v>
      </c>
      <c r="O180" t="s">
        <v>795</v>
      </c>
      <c r="P180" t="str">
        <f t="shared" si="6"/>
        <v>2025-01</v>
      </c>
      <c r="Q180">
        <f>IF(tblWO[[#This Row],[Status]]="Completed",1,
IF(tblWO[[#This Row],[Status]]="In Progress",2,
IF(tblWO[[#This Row],[Status]]="Planned",3,
IF(tblWO[[#This Row],[Status]]="Cancelled",4,99))))</f>
        <v>1</v>
      </c>
      <c r="R180">
        <f t="shared" si="7"/>
        <v>3</v>
      </c>
      <c r="S180" s="6" t="str">
        <f t="shared" si="8"/>
        <v>2025-01</v>
      </c>
    </row>
    <row r="181" spans="1:19">
      <c r="A181" t="s">
        <v>822</v>
      </c>
      <c r="B181" t="s">
        <v>55</v>
      </c>
      <c r="C181" t="s">
        <v>56</v>
      </c>
      <c r="D181" t="s">
        <v>158</v>
      </c>
      <c r="E181" t="s">
        <v>10</v>
      </c>
      <c r="F181" t="s">
        <v>138</v>
      </c>
      <c r="G181" t="s">
        <v>770</v>
      </c>
      <c r="H181" t="s">
        <v>771</v>
      </c>
      <c r="I181" t="s">
        <v>771</v>
      </c>
      <c r="J181" t="s">
        <v>823</v>
      </c>
      <c r="K181" s="2">
        <v>4.4000000000000004</v>
      </c>
      <c r="L181" s="3">
        <v>211290.72</v>
      </c>
      <c r="M181" t="s">
        <v>142</v>
      </c>
      <c r="N181" t="s">
        <v>342</v>
      </c>
      <c r="O181" t="s">
        <v>777</v>
      </c>
      <c r="P181" t="str">
        <f t="shared" si="6"/>
        <v>2025-10</v>
      </c>
      <c r="Q181">
        <f>IF(tblWO[[#This Row],[Status]]="Completed",1,
IF(tblWO[[#This Row],[Status]]="In Progress",2,
IF(tblWO[[#This Row],[Status]]="Planned",3,
IF(tblWO[[#This Row],[Status]]="Cancelled",4,99))))</f>
        <v>1</v>
      </c>
      <c r="R181">
        <f t="shared" si="7"/>
        <v>1</v>
      </c>
      <c r="S181" s="6" t="str">
        <f t="shared" si="8"/>
        <v>2025-10</v>
      </c>
    </row>
    <row r="182" spans="1:19">
      <c r="A182" t="s">
        <v>824</v>
      </c>
      <c r="B182" t="s">
        <v>55</v>
      </c>
      <c r="C182" t="s">
        <v>56</v>
      </c>
      <c r="D182" t="s">
        <v>158</v>
      </c>
      <c r="E182" t="s">
        <v>45</v>
      </c>
      <c r="F182" t="s">
        <v>138</v>
      </c>
      <c r="G182" t="s">
        <v>825</v>
      </c>
      <c r="H182" t="s">
        <v>826</v>
      </c>
      <c r="I182" t="s">
        <v>826</v>
      </c>
      <c r="J182" t="s">
        <v>827</v>
      </c>
      <c r="K182" s="2">
        <v>5.7</v>
      </c>
      <c r="L182" s="3">
        <v>160984.82</v>
      </c>
      <c r="M182" t="s">
        <v>142</v>
      </c>
      <c r="N182" t="s">
        <v>185</v>
      </c>
      <c r="O182" t="s">
        <v>777</v>
      </c>
      <c r="P182" t="str">
        <f t="shared" si="6"/>
        <v>2025-10</v>
      </c>
      <c r="Q182">
        <f>IF(tblWO[[#This Row],[Status]]="Completed",1,
IF(tblWO[[#This Row],[Status]]="In Progress",2,
IF(tblWO[[#This Row],[Status]]="Planned",3,
IF(tblWO[[#This Row],[Status]]="Cancelled",4,99))))</f>
        <v>1</v>
      </c>
      <c r="R182">
        <f t="shared" si="7"/>
        <v>1</v>
      </c>
      <c r="S182" s="6" t="str">
        <f t="shared" si="8"/>
        <v>2025-10</v>
      </c>
    </row>
    <row r="183" spans="1:19">
      <c r="A183" t="s">
        <v>828</v>
      </c>
      <c r="B183" t="s">
        <v>55</v>
      </c>
      <c r="C183" t="s">
        <v>56</v>
      </c>
      <c r="D183" t="s">
        <v>146</v>
      </c>
      <c r="E183" t="s">
        <v>37</v>
      </c>
      <c r="F183" t="s">
        <v>138</v>
      </c>
      <c r="G183" t="s">
        <v>829</v>
      </c>
      <c r="H183" t="s">
        <v>830</v>
      </c>
      <c r="I183" t="s">
        <v>830</v>
      </c>
      <c r="J183" t="s">
        <v>831</v>
      </c>
      <c r="K183" s="2">
        <v>6.3</v>
      </c>
      <c r="L183" s="3">
        <v>394269.94</v>
      </c>
      <c r="M183" t="s">
        <v>390</v>
      </c>
      <c r="N183" t="s">
        <v>156</v>
      </c>
      <c r="O183" t="s">
        <v>795</v>
      </c>
      <c r="P183" t="str">
        <f t="shared" si="6"/>
        <v>2025-06</v>
      </c>
      <c r="Q183">
        <f>IF(tblWO[[#This Row],[Status]]="Completed",1,
IF(tblWO[[#This Row],[Status]]="In Progress",2,
IF(tblWO[[#This Row],[Status]]="Planned",3,
IF(tblWO[[#This Row],[Status]]="Cancelled",4,99))))</f>
        <v>1</v>
      </c>
      <c r="R183">
        <f t="shared" si="7"/>
        <v>3</v>
      </c>
      <c r="S183" s="6" t="str">
        <f t="shared" si="8"/>
        <v>2025-06</v>
      </c>
    </row>
    <row r="184" spans="1:19">
      <c r="A184" t="s">
        <v>832</v>
      </c>
      <c r="B184" t="s">
        <v>59</v>
      </c>
      <c r="C184" t="s">
        <v>60</v>
      </c>
      <c r="D184" t="s">
        <v>158</v>
      </c>
      <c r="E184" t="s">
        <v>45</v>
      </c>
      <c r="F184" t="s">
        <v>138</v>
      </c>
      <c r="G184" t="s">
        <v>833</v>
      </c>
      <c r="H184" t="s">
        <v>834</v>
      </c>
      <c r="I184" t="s">
        <v>834</v>
      </c>
      <c r="J184" t="s">
        <v>835</v>
      </c>
      <c r="K184" s="2">
        <v>4.0999999999999996</v>
      </c>
      <c r="L184" s="3">
        <v>202969.3</v>
      </c>
      <c r="M184" t="s">
        <v>142</v>
      </c>
      <c r="N184" t="s">
        <v>156</v>
      </c>
      <c r="O184" t="s">
        <v>836</v>
      </c>
      <c r="P184" t="str">
        <f t="shared" si="6"/>
        <v>2025-10</v>
      </c>
      <c r="Q184">
        <f>IF(tblWO[[#This Row],[Status]]="Completed",1,
IF(tblWO[[#This Row],[Status]]="In Progress",2,
IF(tblWO[[#This Row],[Status]]="Planned",3,
IF(tblWO[[#This Row],[Status]]="Cancelled",4,99))))</f>
        <v>1</v>
      </c>
      <c r="R184">
        <f t="shared" si="7"/>
        <v>1</v>
      </c>
      <c r="S184" s="6" t="str">
        <f t="shared" si="8"/>
        <v>2025-10</v>
      </c>
    </row>
    <row r="185" spans="1:19">
      <c r="A185" t="s">
        <v>837</v>
      </c>
      <c r="B185" t="s">
        <v>59</v>
      </c>
      <c r="C185" t="s">
        <v>60</v>
      </c>
      <c r="D185" t="s">
        <v>158</v>
      </c>
      <c r="E185" t="s">
        <v>32</v>
      </c>
      <c r="F185" t="s">
        <v>138</v>
      </c>
      <c r="G185" t="s">
        <v>838</v>
      </c>
      <c r="H185" t="s">
        <v>839</v>
      </c>
      <c r="I185" t="s">
        <v>839</v>
      </c>
      <c r="J185" t="s">
        <v>840</v>
      </c>
      <c r="K185" s="2">
        <v>6.5</v>
      </c>
      <c r="L185" s="3">
        <v>71947.69</v>
      </c>
      <c r="M185" t="s">
        <v>142</v>
      </c>
      <c r="N185" t="s">
        <v>342</v>
      </c>
      <c r="O185" t="s">
        <v>836</v>
      </c>
      <c r="P185" t="str">
        <f t="shared" si="6"/>
        <v>2025-03</v>
      </c>
      <c r="Q185">
        <f>IF(tblWO[[#This Row],[Status]]="Completed",1,
IF(tblWO[[#This Row],[Status]]="In Progress",2,
IF(tblWO[[#This Row],[Status]]="Planned",3,
IF(tblWO[[#This Row],[Status]]="Cancelled",4,99))))</f>
        <v>1</v>
      </c>
      <c r="R185">
        <f t="shared" si="7"/>
        <v>1</v>
      </c>
      <c r="S185" s="6" t="str">
        <f t="shared" si="8"/>
        <v>2025-03</v>
      </c>
    </row>
    <row r="186" spans="1:19">
      <c r="A186" t="s">
        <v>841</v>
      </c>
      <c r="B186" t="s">
        <v>59</v>
      </c>
      <c r="C186" t="s">
        <v>60</v>
      </c>
      <c r="D186" t="s">
        <v>146</v>
      </c>
      <c r="E186" t="s">
        <v>37</v>
      </c>
      <c r="F186" t="s">
        <v>138</v>
      </c>
      <c r="G186" t="s">
        <v>842</v>
      </c>
      <c r="H186" t="s">
        <v>843</v>
      </c>
      <c r="I186" t="s">
        <v>843</v>
      </c>
      <c r="J186" t="s">
        <v>844</v>
      </c>
      <c r="K186" s="2">
        <v>7.2</v>
      </c>
      <c r="L186" s="3">
        <v>383825.52</v>
      </c>
      <c r="M186" t="s">
        <v>142</v>
      </c>
      <c r="N186" t="s">
        <v>143</v>
      </c>
      <c r="O186" t="s">
        <v>845</v>
      </c>
      <c r="P186" t="str">
        <f t="shared" si="6"/>
        <v>2025-01</v>
      </c>
      <c r="Q186">
        <f>IF(tblWO[[#This Row],[Status]]="Completed",1,
IF(tblWO[[#This Row],[Status]]="In Progress",2,
IF(tblWO[[#This Row],[Status]]="Planned",3,
IF(tblWO[[#This Row],[Status]]="Cancelled",4,99))))</f>
        <v>1</v>
      </c>
      <c r="R186">
        <f t="shared" si="7"/>
        <v>3</v>
      </c>
      <c r="S186" s="6" t="str">
        <f t="shared" si="8"/>
        <v>2025-01</v>
      </c>
    </row>
    <row r="187" spans="1:19">
      <c r="A187" t="s">
        <v>846</v>
      </c>
      <c r="B187" t="s">
        <v>59</v>
      </c>
      <c r="C187" t="s">
        <v>60</v>
      </c>
      <c r="D187" t="s">
        <v>169</v>
      </c>
      <c r="E187" t="s">
        <v>10</v>
      </c>
      <c r="F187" t="s">
        <v>138</v>
      </c>
      <c r="G187" t="s">
        <v>847</v>
      </c>
      <c r="H187" t="s">
        <v>848</v>
      </c>
      <c r="I187" t="s">
        <v>848</v>
      </c>
      <c r="J187" t="s">
        <v>849</v>
      </c>
      <c r="K187" s="2">
        <v>39.6</v>
      </c>
      <c r="L187" s="3">
        <v>215770.42</v>
      </c>
      <c r="M187" t="s">
        <v>390</v>
      </c>
      <c r="N187" t="s">
        <v>342</v>
      </c>
      <c r="O187" t="s">
        <v>850</v>
      </c>
      <c r="P187" t="str">
        <f t="shared" si="6"/>
        <v>2025-04</v>
      </c>
      <c r="Q187">
        <f>IF(tblWO[[#This Row],[Status]]="Completed",1,
IF(tblWO[[#This Row],[Status]]="In Progress",2,
IF(tblWO[[#This Row],[Status]]="Planned",3,
IF(tblWO[[#This Row],[Status]]="Cancelled",4,99))))</f>
        <v>1</v>
      </c>
      <c r="R187">
        <f t="shared" si="7"/>
        <v>4</v>
      </c>
      <c r="S187" s="6" t="str">
        <f t="shared" si="8"/>
        <v>2025-04</v>
      </c>
    </row>
    <row r="188" spans="1:19">
      <c r="A188" t="s">
        <v>851</v>
      </c>
      <c r="B188" t="s">
        <v>59</v>
      </c>
      <c r="C188" t="s">
        <v>60</v>
      </c>
      <c r="D188" t="s">
        <v>158</v>
      </c>
      <c r="E188" t="s">
        <v>10</v>
      </c>
      <c r="F188" t="s">
        <v>147</v>
      </c>
      <c r="G188" t="s">
        <v>487</v>
      </c>
      <c r="H188" t="s">
        <v>488</v>
      </c>
      <c r="K188" s="2">
        <v>0</v>
      </c>
      <c r="L188" s="3">
        <v>0</v>
      </c>
      <c r="N188" t="s">
        <v>174</v>
      </c>
      <c r="O188" t="s">
        <v>836</v>
      </c>
      <c r="P188" t="str">
        <f t="shared" si="6"/>
        <v>2025-09</v>
      </c>
      <c r="Q188">
        <f>IF(tblWO[[#This Row],[Status]]="Completed",1,
IF(tblWO[[#This Row],[Status]]="In Progress",2,
IF(tblWO[[#This Row],[Status]]="Planned",3,
IF(tblWO[[#This Row],[Status]]="Cancelled",4,99))))</f>
        <v>2</v>
      </c>
      <c r="R188">
        <f t="shared" si="7"/>
        <v>1</v>
      </c>
      <c r="S188" s="6" t="str">
        <f t="shared" si="8"/>
        <v>2025-09</v>
      </c>
    </row>
    <row r="189" spans="1:19">
      <c r="A189" t="s">
        <v>852</v>
      </c>
      <c r="B189" t="s">
        <v>59</v>
      </c>
      <c r="C189" t="s">
        <v>60</v>
      </c>
      <c r="D189" t="s">
        <v>463</v>
      </c>
      <c r="E189" t="s">
        <v>32</v>
      </c>
      <c r="F189" t="s">
        <v>138</v>
      </c>
      <c r="G189" t="s">
        <v>853</v>
      </c>
      <c r="H189" t="s">
        <v>854</v>
      </c>
      <c r="I189" t="s">
        <v>854</v>
      </c>
      <c r="J189" t="s">
        <v>855</v>
      </c>
      <c r="K189" s="2">
        <v>31.1</v>
      </c>
      <c r="L189" s="3">
        <v>1472379.73</v>
      </c>
      <c r="M189" t="s">
        <v>390</v>
      </c>
      <c r="N189" t="s">
        <v>185</v>
      </c>
      <c r="O189" t="s">
        <v>856</v>
      </c>
      <c r="P189" t="str">
        <f t="shared" si="6"/>
        <v>2025-08</v>
      </c>
      <c r="Q189">
        <f>IF(tblWO[[#This Row],[Status]]="Completed",1,
IF(tblWO[[#This Row],[Status]]="In Progress",2,
IF(tblWO[[#This Row],[Status]]="Planned",3,
IF(tblWO[[#This Row],[Status]]="Cancelled",4,99))))</f>
        <v>1</v>
      </c>
      <c r="R189">
        <f t="shared" si="7"/>
        <v>5</v>
      </c>
      <c r="S189" s="6" t="str">
        <f t="shared" si="8"/>
        <v>2025-08</v>
      </c>
    </row>
    <row r="190" spans="1:19">
      <c r="A190" t="s">
        <v>857</v>
      </c>
      <c r="B190" t="s">
        <v>59</v>
      </c>
      <c r="C190" t="s">
        <v>60</v>
      </c>
      <c r="D190" t="s">
        <v>158</v>
      </c>
      <c r="E190" t="s">
        <v>32</v>
      </c>
      <c r="F190" t="s">
        <v>138</v>
      </c>
      <c r="G190" t="s">
        <v>858</v>
      </c>
      <c r="H190" t="s">
        <v>859</v>
      </c>
      <c r="I190" t="s">
        <v>859</v>
      </c>
      <c r="J190" t="s">
        <v>860</v>
      </c>
      <c r="K190" s="2">
        <v>7.5</v>
      </c>
      <c r="L190" s="3">
        <v>196946.5</v>
      </c>
      <c r="M190" t="s">
        <v>142</v>
      </c>
      <c r="N190" t="s">
        <v>143</v>
      </c>
      <c r="O190" t="s">
        <v>836</v>
      </c>
      <c r="P190" t="str">
        <f t="shared" si="6"/>
        <v>2025-12</v>
      </c>
      <c r="Q190">
        <f>IF(tblWO[[#This Row],[Status]]="Completed",1,
IF(tblWO[[#This Row],[Status]]="In Progress",2,
IF(tblWO[[#This Row],[Status]]="Planned",3,
IF(tblWO[[#This Row],[Status]]="Cancelled",4,99))))</f>
        <v>1</v>
      </c>
      <c r="R190">
        <f t="shared" si="7"/>
        <v>1</v>
      </c>
      <c r="S190" s="6" t="str">
        <f t="shared" si="8"/>
        <v>2025-12</v>
      </c>
    </row>
    <row r="191" spans="1:19">
      <c r="A191" t="s">
        <v>861</v>
      </c>
      <c r="B191" t="s">
        <v>62</v>
      </c>
      <c r="C191" t="s">
        <v>63</v>
      </c>
      <c r="D191" t="s">
        <v>146</v>
      </c>
      <c r="E191" t="s">
        <v>37</v>
      </c>
      <c r="F191" t="s">
        <v>138</v>
      </c>
      <c r="G191" t="s">
        <v>752</v>
      </c>
      <c r="H191" t="s">
        <v>753</v>
      </c>
      <c r="I191" t="s">
        <v>753</v>
      </c>
      <c r="J191" t="s">
        <v>862</v>
      </c>
      <c r="K191" s="2">
        <v>22.7</v>
      </c>
      <c r="L191" s="3">
        <v>190188.11</v>
      </c>
      <c r="M191" t="s">
        <v>670</v>
      </c>
      <c r="N191" t="s">
        <v>239</v>
      </c>
      <c r="O191" t="s">
        <v>863</v>
      </c>
      <c r="P191" t="str">
        <f t="shared" si="6"/>
        <v>2025-02</v>
      </c>
      <c r="Q191">
        <f>IF(tblWO[[#This Row],[Status]]="Completed",1,
IF(tblWO[[#This Row],[Status]]="In Progress",2,
IF(tblWO[[#This Row],[Status]]="Planned",3,
IF(tblWO[[#This Row],[Status]]="Cancelled",4,99))))</f>
        <v>1</v>
      </c>
      <c r="R191">
        <f t="shared" si="7"/>
        <v>3</v>
      </c>
      <c r="S191" s="6" t="str">
        <f t="shared" si="8"/>
        <v>2025-02</v>
      </c>
    </row>
    <row r="192" spans="1:19">
      <c r="A192" t="s">
        <v>864</v>
      </c>
      <c r="B192" t="s">
        <v>62</v>
      </c>
      <c r="C192" t="s">
        <v>63</v>
      </c>
      <c r="D192" t="s">
        <v>169</v>
      </c>
      <c r="E192" t="s">
        <v>10</v>
      </c>
      <c r="F192" t="s">
        <v>138</v>
      </c>
      <c r="G192" t="s">
        <v>865</v>
      </c>
      <c r="H192" t="s">
        <v>866</v>
      </c>
      <c r="I192" t="s">
        <v>866</v>
      </c>
      <c r="J192" t="s">
        <v>867</v>
      </c>
      <c r="K192" s="2">
        <v>20.100000000000001</v>
      </c>
      <c r="L192" s="3">
        <v>520086.82</v>
      </c>
      <c r="M192" t="s">
        <v>291</v>
      </c>
      <c r="N192" t="s">
        <v>143</v>
      </c>
      <c r="O192" t="s">
        <v>868</v>
      </c>
      <c r="P192" t="str">
        <f t="shared" si="6"/>
        <v>2025-04</v>
      </c>
      <c r="Q192">
        <f>IF(tblWO[[#This Row],[Status]]="Completed",1,
IF(tblWO[[#This Row],[Status]]="In Progress",2,
IF(tblWO[[#This Row],[Status]]="Planned",3,
IF(tblWO[[#This Row],[Status]]="Cancelled",4,99))))</f>
        <v>1</v>
      </c>
      <c r="R192">
        <f t="shared" si="7"/>
        <v>4</v>
      </c>
      <c r="S192" s="6" t="str">
        <f t="shared" si="8"/>
        <v>2025-04</v>
      </c>
    </row>
    <row r="193" spans="1:19">
      <c r="A193" t="s">
        <v>869</v>
      </c>
      <c r="B193" t="s">
        <v>62</v>
      </c>
      <c r="C193" t="s">
        <v>63</v>
      </c>
      <c r="D193" t="s">
        <v>146</v>
      </c>
      <c r="E193" t="s">
        <v>32</v>
      </c>
      <c r="F193" t="s">
        <v>138</v>
      </c>
      <c r="G193" t="s">
        <v>335</v>
      </c>
      <c r="H193" t="s">
        <v>336</v>
      </c>
      <c r="I193" t="s">
        <v>336</v>
      </c>
      <c r="J193" t="s">
        <v>870</v>
      </c>
      <c r="K193" s="2">
        <v>10.8</v>
      </c>
      <c r="L193" s="3">
        <v>469571.89</v>
      </c>
      <c r="M193" t="s">
        <v>173</v>
      </c>
      <c r="N193" t="s">
        <v>162</v>
      </c>
      <c r="O193" t="s">
        <v>863</v>
      </c>
      <c r="P193" t="str">
        <f t="shared" si="6"/>
        <v>2025-03</v>
      </c>
      <c r="Q193">
        <f>IF(tblWO[[#This Row],[Status]]="Completed",1,
IF(tblWO[[#This Row],[Status]]="In Progress",2,
IF(tblWO[[#This Row],[Status]]="Planned",3,
IF(tblWO[[#This Row],[Status]]="Cancelled",4,99))))</f>
        <v>1</v>
      </c>
      <c r="R193">
        <f t="shared" si="7"/>
        <v>3</v>
      </c>
      <c r="S193" s="6" t="str">
        <f t="shared" si="8"/>
        <v>2025-03</v>
      </c>
    </row>
    <row r="194" spans="1:19">
      <c r="A194" t="s">
        <v>871</v>
      </c>
      <c r="B194" t="s">
        <v>62</v>
      </c>
      <c r="C194" t="s">
        <v>63</v>
      </c>
      <c r="D194" t="s">
        <v>169</v>
      </c>
      <c r="E194" t="s">
        <v>45</v>
      </c>
      <c r="F194" t="s">
        <v>138</v>
      </c>
      <c r="G194" t="s">
        <v>628</v>
      </c>
      <c r="H194" t="s">
        <v>629</v>
      </c>
      <c r="I194" t="s">
        <v>629</v>
      </c>
      <c r="J194" t="s">
        <v>872</v>
      </c>
      <c r="K194" s="2">
        <v>34</v>
      </c>
      <c r="L194" s="3">
        <v>660175.4</v>
      </c>
      <c r="M194" t="s">
        <v>670</v>
      </c>
      <c r="N194" t="s">
        <v>174</v>
      </c>
      <c r="O194" t="s">
        <v>868</v>
      </c>
      <c r="P194" t="str">
        <f t="shared" ref="P194:P257" si="9">TEXT(G194,"yyyy-mm")</f>
        <v>2025-02</v>
      </c>
      <c r="Q194">
        <f>IF(tblWO[[#This Row],[Status]]="Completed",1,
IF(tblWO[[#This Row],[Status]]="In Progress",2,
IF(tblWO[[#This Row],[Status]]="Planned",3,
IF(tblWO[[#This Row],[Status]]="Cancelled",4,99))))</f>
        <v>1</v>
      </c>
      <c r="R194">
        <f t="shared" ref="R194:R257" si="10">IF(D194="Preventive",1,
IF(D194="Inspection",2,
IF(D194="Corrective",3,
IF(D194="Breakdown",4,
IF(D194="Overhaul",5,99)))))</f>
        <v>4</v>
      </c>
      <c r="S194" s="6" t="str">
        <f t="shared" ref="S194:S257" si="11">TEXT(G194,"yyyy-mm")</f>
        <v>2025-02</v>
      </c>
    </row>
    <row r="195" spans="1:19">
      <c r="A195" t="s">
        <v>873</v>
      </c>
      <c r="B195" t="s">
        <v>62</v>
      </c>
      <c r="C195" t="s">
        <v>63</v>
      </c>
      <c r="D195" t="s">
        <v>146</v>
      </c>
      <c r="E195" t="s">
        <v>45</v>
      </c>
      <c r="F195" t="s">
        <v>138</v>
      </c>
      <c r="G195" t="s">
        <v>539</v>
      </c>
      <c r="H195" t="s">
        <v>540</v>
      </c>
      <c r="I195" t="s">
        <v>540</v>
      </c>
      <c r="J195" t="s">
        <v>874</v>
      </c>
      <c r="K195" s="2">
        <v>10</v>
      </c>
      <c r="L195" s="3">
        <v>197951.16</v>
      </c>
      <c r="M195" t="s">
        <v>670</v>
      </c>
      <c r="N195" t="s">
        <v>174</v>
      </c>
      <c r="O195" t="s">
        <v>863</v>
      </c>
      <c r="P195" t="str">
        <f t="shared" si="9"/>
        <v>2025-09</v>
      </c>
      <c r="Q195">
        <f>IF(tblWO[[#This Row],[Status]]="Completed",1,
IF(tblWO[[#This Row],[Status]]="In Progress",2,
IF(tblWO[[#This Row],[Status]]="Planned",3,
IF(tblWO[[#This Row],[Status]]="Cancelled",4,99))))</f>
        <v>1</v>
      </c>
      <c r="R195">
        <f t="shared" si="10"/>
        <v>3</v>
      </c>
      <c r="S195" s="6" t="str">
        <f t="shared" si="11"/>
        <v>2025-09</v>
      </c>
    </row>
    <row r="196" spans="1:19">
      <c r="A196" t="s">
        <v>875</v>
      </c>
      <c r="B196" t="s">
        <v>62</v>
      </c>
      <c r="C196" t="s">
        <v>63</v>
      </c>
      <c r="D196" t="s">
        <v>158</v>
      </c>
      <c r="E196" t="s">
        <v>45</v>
      </c>
      <c r="F196" t="s">
        <v>138</v>
      </c>
      <c r="G196" t="s">
        <v>876</v>
      </c>
      <c r="H196" t="s">
        <v>877</v>
      </c>
      <c r="I196" t="s">
        <v>877</v>
      </c>
      <c r="J196" t="s">
        <v>878</v>
      </c>
      <c r="K196" s="2">
        <v>6.6</v>
      </c>
      <c r="L196" s="3">
        <v>135048.14000000001</v>
      </c>
      <c r="M196" t="s">
        <v>142</v>
      </c>
      <c r="N196" t="s">
        <v>143</v>
      </c>
      <c r="O196" t="s">
        <v>879</v>
      </c>
      <c r="P196" t="str">
        <f t="shared" si="9"/>
        <v>2025-01</v>
      </c>
      <c r="Q196">
        <f>IF(tblWO[[#This Row],[Status]]="Completed",1,
IF(tblWO[[#This Row],[Status]]="In Progress",2,
IF(tblWO[[#This Row],[Status]]="Planned",3,
IF(tblWO[[#This Row],[Status]]="Cancelled",4,99))))</f>
        <v>1</v>
      </c>
      <c r="R196">
        <f t="shared" si="10"/>
        <v>1</v>
      </c>
      <c r="S196" s="6" t="str">
        <f t="shared" si="11"/>
        <v>2025-01</v>
      </c>
    </row>
    <row r="197" spans="1:19">
      <c r="A197" t="s">
        <v>880</v>
      </c>
      <c r="B197" t="s">
        <v>62</v>
      </c>
      <c r="C197" t="s">
        <v>63</v>
      </c>
      <c r="D197" t="s">
        <v>158</v>
      </c>
      <c r="E197" t="s">
        <v>32</v>
      </c>
      <c r="F197" t="s">
        <v>147</v>
      </c>
      <c r="G197" t="s">
        <v>881</v>
      </c>
      <c r="H197" t="s">
        <v>882</v>
      </c>
      <c r="K197" s="2">
        <v>0</v>
      </c>
      <c r="L197" s="3">
        <v>0</v>
      </c>
      <c r="N197" t="s">
        <v>143</v>
      </c>
      <c r="O197" t="s">
        <v>879</v>
      </c>
      <c r="P197" t="str">
        <f t="shared" si="9"/>
        <v>2025-06</v>
      </c>
      <c r="Q197">
        <f>IF(tblWO[[#This Row],[Status]]="Completed",1,
IF(tblWO[[#This Row],[Status]]="In Progress",2,
IF(tblWO[[#This Row],[Status]]="Planned",3,
IF(tblWO[[#This Row],[Status]]="Cancelled",4,99))))</f>
        <v>2</v>
      </c>
      <c r="R197">
        <f t="shared" si="10"/>
        <v>1</v>
      </c>
      <c r="S197" s="6" t="str">
        <f t="shared" si="11"/>
        <v>2025-06</v>
      </c>
    </row>
    <row r="198" spans="1:19">
      <c r="A198" t="s">
        <v>883</v>
      </c>
      <c r="B198" t="s">
        <v>62</v>
      </c>
      <c r="C198" t="s">
        <v>63</v>
      </c>
      <c r="D198" t="s">
        <v>169</v>
      </c>
      <c r="E198" t="s">
        <v>10</v>
      </c>
      <c r="F198" t="s">
        <v>138</v>
      </c>
      <c r="G198" t="s">
        <v>833</v>
      </c>
      <c r="H198" t="s">
        <v>834</v>
      </c>
      <c r="I198" t="s">
        <v>834</v>
      </c>
      <c r="J198" t="s">
        <v>884</v>
      </c>
      <c r="K198" s="2">
        <v>26</v>
      </c>
      <c r="L198" s="3">
        <v>284526.58</v>
      </c>
      <c r="M198" t="s">
        <v>390</v>
      </c>
      <c r="N198" t="s">
        <v>162</v>
      </c>
      <c r="O198" t="s">
        <v>868</v>
      </c>
      <c r="P198" t="str">
        <f t="shared" si="9"/>
        <v>2025-10</v>
      </c>
      <c r="Q198">
        <f>IF(tblWO[[#This Row],[Status]]="Completed",1,
IF(tblWO[[#This Row],[Status]]="In Progress",2,
IF(tblWO[[#This Row],[Status]]="Planned",3,
IF(tblWO[[#This Row],[Status]]="Cancelled",4,99))))</f>
        <v>1</v>
      </c>
      <c r="R198">
        <f t="shared" si="10"/>
        <v>4</v>
      </c>
      <c r="S198" s="6" t="str">
        <f t="shared" si="11"/>
        <v>2025-10</v>
      </c>
    </row>
    <row r="199" spans="1:19">
      <c r="A199" t="s">
        <v>885</v>
      </c>
      <c r="B199" t="s">
        <v>62</v>
      </c>
      <c r="C199" t="s">
        <v>63</v>
      </c>
      <c r="D199" t="s">
        <v>158</v>
      </c>
      <c r="E199" t="s">
        <v>32</v>
      </c>
      <c r="F199" t="s">
        <v>138</v>
      </c>
      <c r="G199" t="s">
        <v>709</v>
      </c>
      <c r="H199" t="s">
        <v>710</v>
      </c>
      <c r="I199" t="s">
        <v>710</v>
      </c>
      <c r="J199" t="s">
        <v>886</v>
      </c>
      <c r="K199" s="2">
        <v>11</v>
      </c>
      <c r="L199" s="3">
        <v>253369.46</v>
      </c>
      <c r="M199" t="s">
        <v>142</v>
      </c>
      <c r="N199" t="s">
        <v>342</v>
      </c>
      <c r="O199" t="s">
        <v>879</v>
      </c>
      <c r="P199" t="str">
        <f t="shared" si="9"/>
        <v>2025-07</v>
      </c>
      <c r="Q199">
        <f>IF(tblWO[[#This Row],[Status]]="Completed",1,
IF(tblWO[[#This Row],[Status]]="In Progress",2,
IF(tblWO[[#This Row],[Status]]="Planned",3,
IF(tblWO[[#This Row],[Status]]="Cancelled",4,99))))</f>
        <v>1</v>
      </c>
      <c r="R199">
        <f t="shared" si="10"/>
        <v>1</v>
      </c>
      <c r="S199" s="6" t="str">
        <f t="shared" si="11"/>
        <v>2025-07</v>
      </c>
    </row>
    <row r="200" spans="1:19">
      <c r="A200" t="s">
        <v>887</v>
      </c>
      <c r="B200" t="s">
        <v>62</v>
      </c>
      <c r="C200" t="s">
        <v>63</v>
      </c>
      <c r="D200" t="s">
        <v>158</v>
      </c>
      <c r="E200" t="s">
        <v>45</v>
      </c>
      <c r="F200" t="s">
        <v>138</v>
      </c>
      <c r="G200" t="s">
        <v>888</v>
      </c>
      <c r="H200" t="s">
        <v>889</v>
      </c>
      <c r="I200" t="s">
        <v>889</v>
      </c>
      <c r="J200" t="s">
        <v>890</v>
      </c>
      <c r="K200" s="2">
        <v>5.0999999999999996</v>
      </c>
      <c r="L200" s="3">
        <v>55794.07</v>
      </c>
      <c r="M200" t="s">
        <v>142</v>
      </c>
      <c r="N200" t="s">
        <v>174</v>
      </c>
      <c r="O200" t="s">
        <v>879</v>
      </c>
      <c r="P200" t="str">
        <f t="shared" si="9"/>
        <v>2025-03</v>
      </c>
      <c r="Q200">
        <f>IF(tblWO[[#This Row],[Status]]="Completed",1,
IF(tblWO[[#This Row],[Status]]="In Progress",2,
IF(tblWO[[#This Row],[Status]]="Planned",3,
IF(tblWO[[#This Row],[Status]]="Cancelled",4,99))))</f>
        <v>1</v>
      </c>
      <c r="R200">
        <f t="shared" si="10"/>
        <v>1</v>
      </c>
      <c r="S200" s="6" t="str">
        <f t="shared" si="11"/>
        <v>2025-03</v>
      </c>
    </row>
    <row r="201" spans="1:19">
      <c r="A201" t="s">
        <v>891</v>
      </c>
      <c r="B201" t="s">
        <v>62</v>
      </c>
      <c r="C201" t="s">
        <v>63</v>
      </c>
      <c r="D201" t="s">
        <v>146</v>
      </c>
      <c r="E201" t="s">
        <v>37</v>
      </c>
      <c r="F201" t="s">
        <v>138</v>
      </c>
      <c r="G201" t="s">
        <v>892</v>
      </c>
      <c r="H201" t="s">
        <v>893</v>
      </c>
      <c r="I201" t="s">
        <v>893</v>
      </c>
      <c r="J201" t="s">
        <v>894</v>
      </c>
      <c r="K201" s="2">
        <v>16</v>
      </c>
      <c r="L201" s="3">
        <v>437139.86</v>
      </c>
      <c r="M201" t="s">
        <v>308</v>
      </c>
      <c r="N201" t="s">
        <v>156</v>
      </c>
      <c r="O201" t="s">
        <v>863</v>
      </c>
      <c r="P201" t="str">
        <f t="shared" si="9"/>
        <v>2025-04</v>
      </c>
      <c r="Q201">
        <f>IF(tblWO[[#This Row],[Status]]="Completed",1,
IF(tblWO[[#This Row],[Status]]="In Progress",2,
IF(tblWO[[#This Row],[Status]]="Planned",3,
IF(tblWO[[#This Row],[Status]]="Cancelled",4,99))))</f>
        <v>1</v>
      </c>
      <c r="R201">
        <f t="shared" si="10"/>
        <v>3</v>
      </c>
      <c r="S201" s="6" t="str">
        <f t="shared" si="11"/>
        <v>2025-04</v>
      </c>
    </row>
    <row r="202" spans="1:19">
      <c r="A202" t="s">
        <v>895</v>
      </c>
      <c r="B202" t="s">
        <v>62</v>
      </c>
      <c r="C202" t="s">
        <v>63</v>
      </c>
      <c r="D202" t="s">
        <v>158</v>
      </c>
      <c r="E202" t="s">
        <v>32</v>
      </c>
      <c r="F202" t="s">
        <v>138</v>
      </c>
      <c r="G202" t="s">
        <v>896</v>
      </c>
      <c r="H202" t="s">
        <v>897</v>
      </c>
      <c r="I202" t="s">
        <v>897</v>
      </c>
      <c r="J202" t="s">
        <v>898</v>
      </c>
      <c r="K202" s="2">
        <v>9.3000000000000007</v>
      </c>
      <c r="L202" s="3">
        <v>240964.19</v>
      </c>
      <c r="M202" t="s">
        <v>142</v>
      </c>
      <c r="N202" t="s">
        <v>342</v>
      </c>
      <c r="O202" t="s">
        <v>879</v>
      </c>
      <c r="P202" t="str">
        <f t="shared" si="9"/>
        <v>2024-12</v>
      </c>
      <c r="Q202">
        <f>IF(tblWO[[#This Row],[Status]]="Completed",1,
IF(tblWO[[#This Row],[Status]]="In Progress",2,
IF(tblWO[[#This Row],[Status]]="Planned",3,
IF(tblWO[[#This Row],[Status]]="Cancelled",4,99))))</f>
        <v>1</v>
      </c>
      <c r="R202">
        <f t="shared" si="10"/>
        <v>1</v>
      </c>
      <c r="S202" s="6" t="str">
        <f t="shared" si="11"/>
        <v>2024-12</v>
      </c>
    </row>
    <row r="203" spans="1:19">
      <c r="A203" t="s">
        <v>899</v>
      </c>
      <c r="B203" t="s">
        <v>62</v>
      </c>
      <c r="C203" t="s">
        <v>63</v>
      </c>
      <c r="D203" t="s">
        <v>158</v>
      </c>
      <c r="E203" t="s">
        <v>45</v>
      </c>
      <c r="F203" t="s">
        <v>138</v>
      </c>
      <c r="G203" t="s">
        <v>236</v>
      </c>
      <c r="H203" t="s">
        <v>237</v>
      </c>
      <c r="I203" t="s">
        <v>237</v>
      </c>
      <c r="J203" t="s">
        <v>900</v>
      </c>
      <c r="K203" s="2">
        <v>2.7</v>
      </c>
      <c r="L203" s="3">
        <v>176063.88</v>
      </c>
      <c r="M203" t="s">
        <v>142</v>
      </c>
      <c r="N203" t="s">
        <v>239</v>
      </c>
      <c r="O203" t="s">
        <v>879</v>
      </c>
      <c r="P203" t="str">
        <f t="shared" si="9"/>
        <v>2025-01</v>
      </c>
      <c r="Q203">
        <f>IF(tblWO[[#This Row],[Status]]="Completed",1,
IF(tblWO[[#This Row],[Status]]="In Progress",2,
IF(tblWO[[#This Row],[Status]]="Planned",3,
IF(tblWO[[#This Row],[Status]]="Cancelled",4,99))))</f>
        <v>1</v>
      </c>
      <c r="R203">
        <f t="shared" si="10"/>
        <v>1</v>
      </c>
      <c r="S203" s="6" t="str">
        <f t="shared" si="11"/>
        <v>2025-01</v>
      </c>
    </row>
    <row r="204" spans="1:19">
      <c r="A204" t="s">
        <v>901</v>
      </c>
      <c r="B204" t="s">
        <v>62</v>
      </c>
      <c r="C204" t="s">
        <v>63</v>
      </c>
      <c r="D204" t="s">
        <v>169</v>
      </c>
      <c r="E204" t="s">
        <v>10</v>
      </c>
      <c r="F204" t="s">
        <v>138</v>
      </c>
      <c r="G204" t="s">
        <v>858</v>
      </c>
      <c r="H204" t="s">
        <v>859</v>
      </c>
      <c r="I204" t="s">
        <v>859</v>
      </c>
      <c r="J204" t="s">
        <v>902</v>
      </c>
      <c r="K204" s="2">
        <v>22.9</v>
      </c>
      <c r="L204" s="3">
        <v>792072.6</v>
      </c>
      <c r="M204" t="s">
        <v>173</v>
      </c>
      <c r="N204" t="s">
        <v>342</v>
      </c>
      <c r="O204" t="s">
        <v>868</v>
      </c>
      <c r="P204" t="str">
        <f t="shared" si="9"/>
        <v>2025-12</v>
      </c>
      <c r="Q204">
        <f>IF(tblWO[[#This Row],[Status]]="Completed",1,
IF(tblWO[[#This Row],[Status]]="In Progress",2,
IF(tblWO[[#This Row],[Status]]="Planned",3,
IF(tblWO[[#This Row],[Status]]="Cancelled",4,99))))</f>
        <v>1</v>
      </c>
      <c r="R204">
        <f t="shared" si="10"/>
        <v>4</v>
      </c>
      <c r="S204" s="6" t="str">
        <f t="shared" si="11"/>
        <v>2025-12</v>
      </c>
    </row>
    <row r="205" spans="1:19">
      <c r="A205" t="s">
        <v>903</v>
      </c>
      <c r="B205" t="s">
        <v>62</v>
      </c>
      <c r="C205" t="s">
        <v>63</v>
      </c>
      <c r="D205" t="s">
        <v>169</v>
      </c>
      <c r="E205" t="s">
        <v>10</v>
      </c>
      <c r="F205" t="s">
        <v>138</v>
      </c>
      <c r="G205" t="s">
        <v>904</v>
      </c>
      <c r="H205" t="s">
        <v>905</v>
      </c>
      <c r="I205" t="s">
        <v>905</v>
      </c>
      <c r="J205" t="s">
        <v>906</v>
      </c>
      <c r="K205" s="2">
        <v>13.5</v>
      </c>
      <c r="L205" s="3">
        <v>399824.42</v>
      </c>
      <c r="M205" t="s">
        <v>308</v>
      </c>
      <c r="N205" t="s">
        <v>156</v>
      </c>
      <c r="O205" t="s">
        <v>868</v>
      </c>
      <c r="P205" t="str">
        <f t="shared" si="9"/>
        <v>2025-10</v>
      </c>
      <c r="Q205">
        <f>IF(tblWO[[#This Row],[Status]]="Completed",1,
IF(tblWO[[#This Row],[Status]]="In Progress",2,
IF(tblWO[[#This Row],[Status]]="Planned",3,
IF(tblWO[[#This Row],[Status]]="Cancelled",4,99))))</f>
        <v>1</v>
      </c>
      <c r="R205">
        <f t="shared" si="10"/>
        <v>4</v>
      </c>
      <c r="S205" s="6" t="str">
        <f t="shared" si="11"/>
        <v>2025-10</v>
      </c>
    </row>
    <row r="206" spans="1:19">
      <c r="A206" t="s">
        <v>907</v>
      </c>
      <c r="B206" t="s">
        <v>62</v>
      </c>
      <c r="C206" t="s">
        <v>63</v>
      </c>
      <c r="D206" t="s">
        <v>146</v>
      </c>
      <c r="E206" t="s">
        <v>32</v>
      </c>
      <c r="F206" t="s">
        <v>138</v>
      </c>
      <c r="G206" t="s">
        <v>369</v>
      </c>
      <c r="H206" t="s">
        <v>370</v>
      </c>
      <c r="I206" t="s">
        <v>370</v>
      </c>
      <c r="J206" t="s">
        <v>908</v>
      </c>
      <c r="K206" s="2">
        <v>10.4</v>
      </c>
      <c r="L206" s="3">
        <v>257181.84</v>
      </c>
      <c r="M206" t="s">
        <v>234</v>
      </c>
      <c r="N206" t="s">
        <v>239</v>
      </c>
      <c r="O206" t="s">
        <v>863</v>
      </c>
      <c r="P206" t="str">
        <f t="shared" si="9"/>
        <v>2025-10</v>
      </c>
      <c r="Q206">
        <f>IF(tblWO[[#This Row],[Status]]="Completed",1,
IF(tblWO[[#This Row],[Status]]="In Progress",2,
IF(tblWO[[#This Row],[Status]]="Planned",3,
IF(tblWO[[#This Row],[Status]]="Cancelled",4,99))))</f>
        <v>1</v>
      </c>
      <c r="R206">
        <f t="shared" si="10"/>
        <v>3</v>
      </c>
      <c r="S206" s="6" t="str">
        <f t="shared" si="11"/>
        <v>2025-10</v>
      </c>
    </row>
    <row r="207" spans="1:19">
      <c r="A207" t="s">
        <v>909</v>
      </c>
      <c r="B207" t="s">
        <v>65</v>
      </c>
      <c r="C207" t="s">
        <v>66</v>
      </c>
      <c r="D207" t="s">
        <v>158</v>
      </c>
      <c r="E207" t="s">
        <v>37</v>
      </c>
      <c r="F207" t="s">
        <v>138</v>
      </c>
      <c r="G207" t="s">
        <v>272</v>
      </c>
      <c r="H207" t="s">
        <v>273</v>
      </c>
      <c r="I207" t="s">
        <v>273</v>
      </c>
      <c r="J207" t="s">
        <v>910</v>
      </c>
      <c r="K207" s="2">
        <v>10.199999999999999</v>
      </c>
      <c r="L207" s="3">
        <v>142089.45000000001</v>
      </c>
      <c r="M207" t="s">
        <v>142</v>
      </c>
      <c r="N207" t="s">
        <v>185</v>
      </c>
      <c r="O207" t="s">
        <v>911</v>
      </c>
      <c r="P207" t="str">
        <f t="shared" si="9"/>
        <v>2025-09</v>
      </c>
      <c r="Q207">
        <f>IF(tblWO[[#This Row],[Status]]="Completed",1,
IF(tblWO[[#This Row],[Status]]="In Progress",2,
IF(tblWO[[#This Row],[Status]]="Planned",3,
IF(tblWO[[#This Row],[Status]]="Cancelled",4,99))))</f>
        <v>1</v>
      </c>
      <c r="R207">
        <f t="shared" si="10"/>
        <v>1</v>
      </c>
      <c r="S207" s="6" t="str">
        <f t="shared" si="11"/>
        <v>2025-09</v>
      </c>
    </row>
    <row r="208" spans="1:19">
      <c r="A208" t="s">
        <v>912</v>
      </c>
      <c r="B208" t="s">
        <v>65</v>
      </c>
      <c r="C208" t="s">
        <v>66</v>
      </c>
      <c r="D208" t="s">
        <v>463</v>
      </c>
      <c r="E208" t="s">
        <v>32</v>
      </c>
      <c r="F208" t="s">
        <v>147</v>
      </c>
      <c r="G208" t="s">
        <v>246</v>
      </c>
      <c r="H208" t="s">
        <v>247</v>
      </c>
      <c r="K208" s="2">
        <v>0</v>
      </c>
      <c r="L208" s="3">
        <v>0</v>
      </c>
      <c r="N208" t="s">
        <v>162</v>
      </c>
      <c r="O208" t="s">
        <v>913</v>
      </c>
      <c r="P208" t="str">
        <f t="shared" si="9"/>
        <v>2025-10</v>
      </c>
      <c r="Q208">
        <f>IF(tblWO[[#This Row],[Status]]="Completed",1,
IF(tblWO[[#This Row],[Status]]="In Progress",2,
IF(tblWO[[#This Row],[Status]]="Planned",3,
IF(tblWO[[#This Row],[Status]]="Cancelled",4,99))))</f>
        <v>2</v>
      </c>
      <c r="R208">
        <f t="shared" si="10"/>
        <v>5</v>
      </c>
      <c r="S208" s="6" t="str">
        <f t="shared" si="11"/>
        <v>2025-10</v>
      </c>
    </row>
    <row r="209" spans="1:19">
      <c r="A209" t="s">
        <v>914</v>
      </c>
      <c r="B209" t="s">
        <v>65</v>
      </c>
      <c r="C209" t="s">
        <v>66</v>
      </c>
      <c r="D209" t="s">
        <v>146</v>
      </c>
      <c r="E209" t="s">
        <v>45</v>
      </c>
      <c r="F209" t="s">
        <v>138</v>
      </c>
      <c r="G209" t="s">
        <v>915</v>
      </c>
      <c r="H209" t="s">
        <v>916</v>
      </c>
      <c r="I209" t="s">
        <v>916</v>
      </c>
      <c r="J209" t="s">
        <v>917</v>
      </c>
      <c r="K209" s="2">
        <v>18.399999999999999</v>
      </c>
      <c r="L209" s="3">
        <v>333409.31</v>
      </c>
      <c r="M209" t="s">
        <v>291</v>
      </c>
      <c r="N209" t="s">
        <v>143</v>
      </c>
      <c r="O209" t="s">
        <v>918</v>
      </c>
      <c r="P209" t="str">
        <f t="shared" si="9"/>
        <v>2025-11</v>
      </c>
      <c r="Q209">
        <f>IF(tblWO[[#This Row],[Status]]="Completed",1,
IF(tblWO[[#This Row],[Status]]="In Progress",2,
IF(tblWO[[#This Row],[Status]]="Planned",3,
IF(tblWO[[#This Row],[Status]]="Cancelled",4,99))))</f>
        <v>1</v>
      </c>
      <c r="R209">
        <f t="shared" si="10"/>
        <v>3</v>
      </c>
      <c r="S209" s="6" t="str">
        <f t="shared" si="11"/>
        <v>2025-11</v>
      </c>
    </row>
    <row r="210" spans="1:19">
      <c r="A210" t="s">
        <v>919</v>
      </c>
      <c r="B210" t="s">
        <v>65</v>
      </c>
      <c r="C210" t="s">
        <v>66</v>
      </c>
      <c r="D210" t="s">
        <v>146</v>
      </c>
      <c r="E210" t="s">
        <v>32</v>
      </c>
      <c r="F210" t="s">
        <v>138</v>
      </c>
      <c r="G210" t="s">
        <v>920</v>
      </c>
      <c r="H210" t="s">
        <v>921</v>
      </c>
      <c r="I210" t="s">
        <v>921</v>
      </c>
      <c r="J210" t="s">
        <v>922</v>
      </c>
      <c r="K210" s="2">
        <v>8.8000000000000007</v>
      </c>
      <c r="L210" s="3">
        <v>329028.11</v>
      </c>
      <c r="M210" t="s">
        <v>142</v>
      </c>
      <c r="N210" t="s">
        <v>185</v>
      </c>
      <c r="O210" t="s">
        <v>918</v>
      </c>
      <c r="P210" t="str">
        <f t="shared" si="9"/>
        <v>2025-11</v>
      </c>
      <c r="Q210">
        <f>IF(tblWO[[#This Row],[Status]]="Completed",1,
IF(tblWO[[#This Row],[Status]]="In Progress",2,
IF(tblWO[[#This Row],[Status]]="Planned",3,
IF(tblWO[[#This Row],[Status]]="Cancelled",4,99))))</f>
        <v>1</v>
      </c>
      <c r="R210">
        <f t="shared" si="10"/>
        <v>3</v>
      </c>
      <c r="S210" s="6" t="str">
        <f t="shared" si="11"/>
        <v>2025-11</v>
      </c>
    </row>
    <row r="211" spans="1:19">
      <c r="A211" t="s">
        <v>923</v>
      </c>
      <c r="B211" t="s">
        <v>65</v>
      </c>
      <c r="C211" t="s">
        <v>66</v>
      </c>
      <c r="D211" t="s">
        <v>158</v>
      </c>
      <c r="E211" t="s">
        <v>45</v>
      </c>
      <c r="F211" t="s">
        <v>138</v>
      </c>
      <c r="G211" t="s">
        <v>924</v>
      </c>
      <c r="H211" t="s">
        <v>925</v>
      </c>
      <c r="I211" t="s">
        <v>925</v>
      </c>
      <c r="J211" t="s">
        <v>926</v>
      </c>
      <c r="K211" s="2">
        <v>6.1</v>
      </c>
      <c r="L211" s="3">
        <v>243743.08</v>
      </c>
      <c r="M211" t="s">
        <v>142</v>
      </c>
      <c r="N211" t="s">
        <v>156</v>
      </c>
      <c r="O211" t="s">
        <v>911</v>
      </c>
      <c r="P211" t="str">
        <f t="shared" si="9"/>
        <v>2025-08</v>
      </c>
      <c r="Q211">
        <f>IF(tblWO[[#This Row],[Status]]="Completed",1,
IF(tblWO[[#This Row],[Status]]="In Progress",2,
IF(tblWO[[#This Row],[Status]]="Planned",3,
IF(tblWO[[#This Row],[Status]]="Cancelled",4,99))))</f>
        <v>1</v>
      </c>
      <c r="R211">
        <f t="shared" si="10"/>
        <v>1</v>
      </c>
      <c r="S211" s="6" t="str">
        <f t="shared" si="11"/>
        <v>2025-08</v>
      </c>
    </row>
    <row r="212" spans="1:19">
      <c r="A212" t="s">
        <v>927</v>
      </c>
      <c r="B212" t="s">
        <v>65</v>
      </c>
      <c r="C212" t="s">
        <v>66</v>
      </c>
      <c r="D212" t="s">
        <v>137</v>
      </c>
      <c r="E212" t="s">
        <v>45</v>
      </c>
      <c r="F212" t="s">
        <v>138</v>
      </c>
      <c r="G212" t="s">
        <v>928</v>
      </c>
      <c r="H212" t="s">
        <v>929</v>
      </c>
      <c r="I212" t="s">
        <v>929</v>
      </c>
      <c r="J212" t="s">
        <v>930</v>
      </c>
      <c r="K212" s="2">
        <v>4</v>
      </c>
      <c r="L212" s="3">
        <v>58269.68</v>
      </c>
      <c r="M212" t="s">
        <v>142</v>
      </c>
      <c r="N212" t="s">
        <v>174</v>
      </c>
      <c r="O212" t="s">
        <v>931</v>
      </c>
      <c r="P212" t="str">
        <f t="shared" si="9"/>
        <v>2025-01</v>
      </c>
      <c r="Q212">
        <f>IF(tblWO[[#This Row],[Status]]="Completed",1,
IF(tblWO[[#This Row],[Status]]="In Progress",2,
IF(tblWO[[#This Row],[Status]]="Planned",3,
IF(tblWO[[#This Row],[Status]]="Cancelled",4,99))))</f>
        <v>1</v>
      </c>
      <c r="R212">
        <f t="shared" si="10"/>
        <v>2</v>
      </c>
      <c r="S212" s="6" t="str">
        <f t="shared" si="11"/>
        <v>2025-01</v>
      </c>
    </row>
    <row r="213" spans="1:19">
      <c r="A213" t="s">
        <v>932</v>
      </c>
      <c r="B213" t="s">
        <v>65</v>
      </c>
      <c r="C213" t="s">
        <v>66</v>
      </c>
      <c r="D213" t="s">
        <v>158</v>
      </c>
      <c r="E213" t="s">
        <v>45</v>
      </c>
      <c r="F213" t="s">
        <v>138</v>
      </c>
      <c r="G213" t="s">
        <v>933</v>
      </c>
      <c r="H213" t="s">
        <v>934</v>
      </c>
      <c r="I213" t="s">
        <v>934</v>
      </c>
      <c r="J213" t="s">
        <v>935</v>
      </c>
      <c r="K213" s="2">
        <v>8.8000000000000007</v>
      </c>
      <c r="L213" s="3">
        <v>266913.59999999998</v>
      </c>
      <c r="M213" t="s">
        <v>142</v>
      </c>
      <c r="N213" t="s">
        <v>239</v>
      </c>
      <c r="O213" t="s">
        <v>911</v>
      </c>
      <c r="P213" t="str">
        <f t="shared" si="9"/>
        <v>2025-03</v>
      </c>
      <c r="Q213">
        <f>IF(tblWO[[#This Row],[Status]]="Completed",1,
IF(tblWO[[#This Row],[Status]]="In Progress",2,
IF(tblWO[[#This Row],[Status]]="Planned",3,
IF(tblWO[[#This Row],[Status]]="Cancelled",4,99))))</f>
        <v>1</v>
      </c>
      <c r="R213">
        <f t="shared" si="10"/>
        <v>1</v>
      </c>
      <c r="S213" s="6" t="str">
        <f t="shared" si="11"/>
        <v>2025-03</v>
      </c>
    </row>
    <row r="214" spans="1:19">
      <c r="A214" t="s">
        <v>936</v>
      </c>
      <c r="B214" t="s">
        <v>65</v>
      </c>
      <c r="C214" t="s">
        <v>66</v>
      </c>
      <c r="D214" t="s">
        <v>146</v>
      </c>
      <c r="E214" t="s">
        <v>32</v>
      </c>
      <c r="F214" t="s">
        <v>138</v>
      </c>
      <c r="G214" t="s">
        <v>937</v>
      </c>
      <c r="H214" t="s">
        <v>938</v>
      </c>
      <c r="I214" t="s">
        <v>938</v>
      </c>
      <c r="J214" t="s">
        <v>939</v>
      </c>
      <c r="K214" s="2">
        <v>23.6</v>
      </c>
      <c r="L214" s="3">
        <v>408469.71</v>
      </c>
      <c r="M214" t="s">
        <v>308</v>
      </c>
      <c r="N214" t="s">
        <v>150</v>
      </c>
      <c r="O214" t="s">
        <v>918</v>
      </c>
      <c r="P214" t="str">
        <f t="shared" si="9"/>
        <v>2025-04</v>
      </c>
      <c r="Q214">
        <f>IF(tblWO[[#This Row],[Status]]="Completed",1,
IF(tblWO[[#This Row],[Status]]="In Progress",2,
IF(tblWO[[#This Row],[Status]]="Planned",3,
IF(tblWO[[#This Row],[Status]]="Cancelled",4,99))))</f>
        <v>1</v>
      </c>
      <c r="R214">
        <f t="shared" si="10"/>
        <v>3</v>
      </c>
      <c r="S214" s="6" t="str">
        <f t="shared" si="11"/>
        <v>2025-04</v>
      </c>
    </row>
    <row r="215" spans="1:19">
      <c r="A215" t="s">
        <v>940</v>
      </c>
      <c r="B215" t="s">
        <v>65</v>
      </c>
      <c r="C215" t="s">
        <v>66</v>
      </c>
      <c r="D215" t="s">
        <v>146</v>
      </c>
      <c r="E215" t="s">
        <v>32</v>
      </c>
      <c r="F215" t="s">
        <v>138</v>
      </c>
      <c r="G215" t="s">
        <v>941</v>
      </c>
      <c r="H215" t="s">
        <v>942</v>
      </c>
      <c r="I215" t="s">
        <v>942</v>
      </c>
      <c r="J215" t="s">
        <v>943</v>
      </c>
      <c r="K215" s="2">
        <v>18.399999999999999</v>
      </c>
      <c r="L215" s="3">
        <v>215115.75</v>
      </c>
      <c r="M215" t="s">
        <v>328</v>
      </c>
      <c r="N215" t="s">
        <v>174</v>
      </c>
      <c r="O215" t="s">
        <v>918</v>
      </c>
      <c r="P215" t="str">
        <f t="shared" si="9"/>
        <v>2025-06</v>
      </c>
      <c r="Q215">
        <f>IF(tblWO[[#This Row],[Status]]="Completed",1,
IF(tblWO[[#This Row],[Status]]="In Progress",2,
IF(tblWO[[#This Row],[Status]]="Planned",3,
IF(tblWO[[#This Row],[Status]]="Cancelled",4,99))))</f>
        <v>1</v>
      </c>
      <c r="R215">
        <f t="shared" si="10"/>
        <v>3</v>
      </c>
      <c r="S215" s="6" t="str">
        <f t="shared" si="11"/>
        <v>2025-06</v>
      </c>
    </row>
    <row r="216" spans="1:19">
      <c r="A216" t="s">
        <v>944</v>
      </c>
      <c r="B216" t="s">
        <v>65</v>
      </c>
      <c r="C216" t="s">
        <v>66</v>
      </c>
      <c r="D216" t="s">
        <v>137</v>
      </c>
      <c r="E216" t="s">
        <v>32</v>
      </c>
      <c r="F216" t="s">
        <v>202</v>
      </c>
      <c r="G216" t="s">
        <v>575</v>
      </c>
      <c r="H216" t="s">
        <v>576</v>
      </c>
      <c r="K216" s="2">
        <v>0</v>
      </c>
      <c r="L216" s="3">
        <v>0</v>
      </c>
      <c r="N216" t="s">
        <v>239</v>
      </c>
      <c r="O216" t="s">
        <v>931</v>
      </c>
      <c r="P216" t="str">
        <f t="shared" si="9"/>
        <v>2025-07</v>
      </c>
      <c r="Q216">
        <f>IF(tblWO[[#This Row],[Status]]="Completed",1,
IF(tblWO[[#This Row],[Status]]="In Progress",2,
IF(tblWO[[#This Row],[Status]]="Planned",3,
IF(tblWO[[#This Row],[Status]]="Cancelled",4,99))))</f>
        <v>3</v>
      </c>
      <c r="R216">
        <f t="shared" si="10"/>
        <v>2</v>
      </c>
      <c r="S216" s="6" t="str">
        <f t="shared" si="11"/>
        <v>2025-07</v>
      </c>
    </row>
    <row r="217" spans="1:19">
      <c r="A217" t="s">
        <v>945</v>
      </c>
      <c r="B217" t="s">
        <v>68</v>
      </c>
      <c r="C217" t="s">
        <v>69</v>
      </c>
      <c r="D217" t="s">
        <v>158</v>
      </c>
      <c r="E217" t="s">
        <v>45</v>
      </c>
      <c r="F217" t="s">
        <v>147</v>
      </c>
      <c r="G217" t="s">
        <v>330</v>
      </c>
      <c r="H217" t="s">
        <v>331</v>
      </c>
      <c r="K217" s="2">
        <v>0</v>
      </c>
      <c r="L217" s="3">
        <v>0</v>
      </c>
      <c r="N217" t="s">
        <v>156</v>
      </c>
      <c r="O217" t="s">
        <v>946</v>
      </c>
      <c r="P217" t="str">
        <f t="shared" si="9"/>
        <v>2025-12</v>
      </c>
      <c r="Q217">
        <f>IF(tblWO[[#This Row],[Status]]="Completed",1,
IF(tblWO[[#This Row],[Status]]="In Progress",2,
IF(tblWO[[#This Row],[Status]]="Planned",3,
IF(tblWO[[#This Row],[Status]]="Cancelled",4,99))))</f>
        <v>2</v>
      </c>
      <c r="R217">
        <f t="shared" si="10"/>
        <v>1</v>
      </c>
      <c r="S217" s="6" t="str">
        <f t="shared" si="11"/>
        <v>2025-12</v>
      </c>
    </row>
    <row r="218" spans="1:19">
      <c r="A218" t="s">
        <v>947</v>
      </c>
      <c r="B218" t="s">
        <v>68</v>
      </c>
      <c r="C218" t="s">
        <v>69</v>
      </c>
      <c r="D218" t="s">
        <v>158</v>
      </c>
      <c r="E218" t="s">
        <v>37</v>
      </c>
      <c r="F218" t="s">
        <v>138</v>
      </c>
      <c r="G218" t="s">
        <v>948</v>
      </c>
      <c r="H218" t="s">
        <v>949</v>
      </c>
      <c r="I218" t="s">
        <v>949</v>
      </c>
      <c r="J218" t="s">
        <v>950</v>
      </c>
      <c r="K218" s="2">
        <v>3.1</v>
      </c>
      <c r="L218" s="3">
        <v>235222.74</v>
      </c>
      <c r="M218" t="s">
        <v>142</v>
      </c>
      <c r="N218" t="s">
        <v>150</v>
      </c>
      <c r="O218" t="s">
        <v>946</v>
      </c>
      <c r="P218" t="str">
        <f t="shared" si="9"/>
        <v>2025-09</v>
      </c>
      <c r="Q218">
        <f>IF(tblWO[[#This Row],[Status]]="Completed",1,
IF(tblWO[[#This Row],[Status]]="In Progress",2,
IF(tblWO[[#This Row],[Status]]="Planned",3,
IF(tblWO[[#This Row],[Status]]="Cancelled",4,99))))</f>
        <v>1</v>
      </c>
      <c r="R218">
        <f t="shared" si="10"/>
        <v>1</v>
      </c>
      <c r="S218" s="6" t="str">
        <f t="shared" si="11"/>
        <v>2025-09</v>
      </c>
    </row>
    <row r="219" spans="1:19">
      <c r="A219" t="s">
        <v>951</v>
      </c>
      <c r="B219" t="s">
        <v>68</v>
      </c>
      <c r="C219" t="s">
        <v>69</v>
      </c>
      <c r="D219" t="s">
        <v>158</v>
      </c>
      <c r="E219" t="s">
        <v>37</v>
      </c>
      <c r="F219" t="s">
        <v>138</v>
      </c>
      <c r="G219" t="s">
        <v>952</v>
      </c>
      <c r="H219" t="s">
        <v>953</v>
      </c>
      <c r="I219" t="s">
        <v>953</v>
      </c>
      <c r="J219" t="s">
        <v>954</v>
      </c>
      <c r="K219" s="2">
        <v>3</v>
      </c>
      <c r="L219" s="3">
        <v>132573.41</v>
      </c>
      <c r="M219" t="s">
        <v>142</v>
      </c>
      <c r="N219" t="s">
        <v>156</v>
      </c>
      <c r="O219" t="s">
        <v>946</v>
      </c>
      <c r="P219" t="str">
        <f t="shared" si="9"/>
        <v>2025-11</v>
      </c>
      <c r="Q219">
        <f>IF(tblWO[[#This Row],[Status]]="Completed",1,
IF(tblWO[[#This Row],[Status]]="In Progress",2,
IF(tblWO[[#This Row],[Status]]="Planned",3,
IF(tblWO[[#This Row],[Status]]="Cancelled",4,99))))</f>
        <v>1</v>
      </c>
      <c r="R219">
        <f t="shared" si="10"/>
        <v>1</v>
      </c>
      <c r="S219" s="6" t="str">
        <f t="shared" si="11"/>
        <v>2025-11</v>
      </c>
    </row>
    <row r="220" spans="1:19">
      <c r="A220" t="s">
        <v>955</v>
      </c>
      <c r="B220" t="s">
        <v>68</v>
      </c>
      <c r="C220" t="s">
        <v>69</v>
      </c>
      <c r="D220" t="s">
        <v>158</v>
      </c>
      <c r="E220" t="s">
        <v>32</v>
      </c>
      <c r="F220" t="s">
        <v>138</v>
      </c>
      <c r="G220" t="s">
        <v>735</v>
      </c>
      <c r="H220" t="s">
        <v>736</v>
      </c>
      <c r="I220" t="s">
        <v>736</v>
      </c>
      <c r="J220" t="s">
        <v>956</v>
      </c>
      <c r="K220" s="2">
        <v>6.1</v>
      </c>
      <c r="L220" s="3">
        <v>283758.02</v>
      </c>
      <c r="M220" t="s">
        <v>142</v>
      </c>
      <c r="N220" t="s">
        <v>156</v>
      </c>
      <c r="O220" t="s">
        <v>946</v>
      </c>
      <c r="P220" t="str">
        <f t="shared" si="9"/>
        <v>2025-03</v>
      </c>
      <c r="Q220">
        <f>IF(tblWO[[#This Row],[Status]]="Completed",1,
IF(tblWO[[#This Row],[Status]]="In Progress",2,
IF(tblWO[[#This Row],[Status]]="Planned",3,
IF(tblWO[[#This Row],[Status]]="Cancelled",4,99))))</f>
        <v>1</v>
      </c>
      <c r="R220">
        <f t="shared" si="10"/>
        <v>1</v>
      </c>
      <c r="S220" s="6" t="str">
        <f t="shared" si="11"/>
        <v>2025-03</v>
      </c>
    </row>
    <row r="221" spans="1:19">
      <c r="A221" t="s">
        <v>957</v>
      </c>
      <c r="B221" t="s">
        <v>68</v>
      </c>
      <c r="C221" t="s">
        <v>69</v>
      </c>
      <c r="D221" t="s">
        <v>158</v>
      </c>
      <c r="E221" t="s">
        <v>37</v>
      </c>
      <c r="F221" t="s">
        <v>138</v>
      </c>
      <c r="G221" t="s">
        <v>797</v>
      </c>
      <c r="H221" t="s">
        <v>798</v>
      </c>
      <c r="I221" t="s">
        <v>798</v>
      </c>
      <c r="J221" t="s">
        <v>958</v>
      </c>
      <c r="K221" s="2">
        <v>2.6</v>
      </c>
      <c r="L221" s="3">
        <v>242181.25</v>
      </c>
      <c r="M221" t="s">
        <v>142</v>
      </c>
      <c r="N221" t="s">
        <v>150</v>
      </c>
      <c r="O221" t="s">
        <v>946</v>
      </c>
      <c r="P221" t="str">
        <f t="shared" si="9"/>
        <v>2025-04</v>
      </c>
      <c r="Q221">
        <f>IF(tblWO[[#This Row],[Status]]="Completed",1,
IF(tblWO[[#This Row],[Status]]="In Progress",2,
IF(tblWO[[#This Row],[Status]]="Planned",3,
IF(tblWO[[#This Row],[Status]]="Cancelled",4,99))))</f>
        <v>1</v>
      </c>
      <c r="R221">
        <f t="shared" si="10"/>
        <v>1</v>
      </c>
      <c r="S221" s="6" t="str">
        <f t="shared" si="11"/>
        <v>2025-04</v>
      </c>
    </row>
    <row r="222" spans="1:19">
      <c r="A222" t="s">
        <v>959</v>
      </c>
      <c r="B222" t="s">
        <v>68</v>
      </c>
      <c r="C222" t="s">
        <v>69</v>
      </c>
      <c r="D222" t="s">
        <v>146</v>
      </c>
      <c r="E222" t="s">
        <v>32</v>
      </c>
      <c r="F222" t="s">
        <v>138</v>
      </c>
      <c r="G222" t="s">
        <v>960</v>
      </c>
      <c r="H222" t="s">
        <v>961</v>
      </c>
      <c r="I222" t="s">
        <v>961</v>
      </c>
      <c r="J222" t="s">
        <v>962</v>
      </c>
      <c r="K222" s="2">
        <v>7.5</v>
      </c>
      <c r="L222" s="3">
        <v>467853.92</v>
      </c>
      <c r="M222" t="s">
        <v>142</v>
      </c>
      <c r="N222" t="s">
        <v>174</v>
      </c>
      <c r="O222" t="s">
        <v>963</v>
      </c>
      <c r="P222" t="str">
        <f t="shared" si="9"/>
        <v>2025-01</v>
      </c>
      <c r="Q222">
        <f>IF(tblWO[[#This Row],[Status]]="Completed",1,
IF(tblWO[[#This Row],[Status]]="In Progress",2,
IF(tblWO[[#This Row],[Status]]="Planned",3,
IF(tblWO[[#This Row],[Status]]="Cancelled",4,99))))</f>
        <v>1</v>
      </c>
      <c r="R222">
        <f t="shared" si="10"/>
        <v>3</v>
      </c>
      <c r="S222" s="6" t="str">
        <f t="shared" si="11"/>
        <v>2025-01</v>
      </c>
    </row>
    <row r="223" spans="1:19">
      <c r="A223" t="s">
        <v>964</v>
      </c>
      <c r="B223" t="s">
        <v>71</v>
      </c>
      <c r="C223" t="s">
        <v>72</v>
      </c>
      <c r="D223" t="s">
        <v>158</v>
      </c>
      <c r="E223" t="s">
        <v>45</v>
      </c>
      <c r="F223" t="s">
        <v>138</v>
      </c>
      <c r="G223" t="s">
        <v>965</v>
      </c>
      <c r="H223" t="s">
        <v>966</v>
      </c>
      <c r="I223" t="s">
        <v>966</v>
      </c>
      <c r="J223" t="s">
        <v>967</v>
      </c>
      <c r="K223" s="2">
        <v>3.1</v>
      </c>
      <c r="L223" s="3">
        <v>295748.46999999997</v>
      </c>
      <c r="M223" t="s">
        <v>142</v>
      </c>
      <c r="N223" t="s">
        <v>239</v>
      </c>
      <c r="O223" t="s">
        <v>968</v>
      </c>
      <c r="P223" t="str">
        <f t="shared" si="9"/>
        <v>2025-05</v>
      </c>
      <c r="Q223">
        <f>IF(tblWO[[#This Row],[Status]]="Completed",1,
IF(tblWO[[#This Row],[Status]]="In Progress",2,
IF(tblWO[[#This Row],[Status]]="Planned",3,
IF(tblWO[[#This Row],[Status]]="Cancelled",4,99))))</f>
        <v>1</v>
      </c>
      <c r="R223">
        <f t="shared" si="10"/>
        <v>1</v>
      </c>
      <c r="S223" s="6" t="str">
        <f t="shared" si="11"/>
        <v>2025-05</v>
      </c>
    </row>
    <row r="224" spans="1:19">
      <c r="A224" t="s">
        <v>969</v>
      </c>
      <c r="B224" t="s">
        <v>71</v>
      </c>
      <c r="C224" t="s">
        <v>72</v>
      </c>
      <c r="D224" t="s">
        <v>158</v>
      </c>
      <c r="E224" t="s">
        <v>32</v>
      </c>
      <c r="F224" t="s">
        <v>138</v>
      </c>
      <c r="G224" t="s">
        <v>970</v>
      </c>
      <c r="H224" t="s">
        <v>971</v>
      </c>
      <c r="I224" t="s">
        <v>971</v>
      </c>
      <c r="J224" t="s">
        <v>972</v>
      </c>
      <c r="K224" s="2">
        <v>10.5</v>
      </c>
      <c r="L224" s="3">
        <v>167005.19</v>
      </c>
      <c r="M224" t="s">
        <v>142</v>
      </c>
      <c r="N224" t="s">
        <v>150</v>
      </c>
      <c r="O224" t="s">
        <v>968</v>
      </c>
      <c r="P224" t="str">
        <f t="shared" si="9"/>
        <v>2025-11</v>
      </c>
      <c r="Q224">
        <f>IF(tblWO[[#This Row],[Status]]="Completed",1,
IF(tblWO[[#This Row],[Status]]="In Progress",2,
IF(tblWO[[#This Row],[Status]]="Planned",3,
IF(tblWO[[#This Row],[Status]]="Cancelled",4,99))))</f>
        <v>1</v>
      </c>
      <c r="R224">
        <f t="shared" si="10"/>
        <v>1</v>
      </c>
      <c r="S224" s="6" t="str">
        <f t="shared" si="11"/>
        <v>2025-11</v>
      </c>
    </row>
    <row r="225" spans="1:19">
      <c r="A225" t="s">
        <v>973</v>
      </c>
      <c r="B225" t="s">
        <v>71</v>
      </c>
      <c r="C225" t="s">
        <v>72</v>
      </c>
      <c r="D225" t="s">
        <v>169</v>
      </c>
      <c r="E225" t="s">
        <v>45</v>
      </c>
      <c r="F225" t="s">
        <v>138</v>
      </c>
      <c r="G225" t="s">
        <v>974</v>
      </c>
      <c r="H225" t="s">
        <v>975</v>
      </c>
      <c r="I225" t="s">
        <v>975</v>
      </c>
      <c r="J225" t="s">
        <v>976</v>
      </c>
      <c r="K225" s="2">
        <v>8.6</v>
      </c>
      <c r="L225" s="3">
        <v>402267.31</v>
      </c>
      <c r="M225" t="s">
        <v>249</v>
      </c>
      <c r="N225" t="s">
        <v>239</v>
      </c>
      <c r="O225" t="s">
        <v>977</v>
      </c>
      <c r="P225" t="str">
        <f t="shared" si="9"/>
        <v>2025-03</v>
      </c>
      <c r="Q225">
        <f>IF(tblWO[[#This Row],[Status]]="Completed",1,
IF(tblWO[[#This Row],[Status]]="In Progress",2,
IF(tblWO[[#This Row],[Status]]="Planned",3,
IF(tblWO[[#This Row],[Status]]="Cancelled",4,99))))</f>
        <v>1</v>
      </c>
      <c r="R225">
        <f t="shared" si="10"/>
        <v>4</v>
      </c>
      <c r="S225" s="6" t="str">
        <f t="shared" si="11"/>
        <v>2025-03</v>
      </c>
    </row>
    <row r="226" spans="1:19">
      <c r="A226" t="s">
        <v>978</v>
      </c>
      <c r="B226" t="s">
        <v>71</v>
      </c>
      <c r="C226" t="s">
        <v>72</v>
      </c>
      <c r="D226" t="s">
        <v>146</v>
      </c>
      <c r="E226" t="s">
        <v>45</v>
      </c>
      <c r="F226" t="s">
        <v>138</v>
      </c>
      <c r="G226" t="s">
        <v>979</v>
      </c>
      <c r="H226" t="s">
        <v>980</v>
      </c>
      <c r="I226" t="s">
        <v>980</v>
      </c>
      <c r="J226" t="s">
        <v>981</v>
      </c>
      <c r="K226" s="2">
        <v>12.6</v>
      </c>
      <c r="L226" s="3">
        <v>231170.66</v>
      </c>
      <c r="M226" t="s">
        <v>308</v>
      </c>
      <c r="N226" t="s">
        <v>174</v>
      </c>
      <c r="O226" t="s">
        <v>982</v>
      </c>
      <c r="P226" t="str">
        <f t="shared" si="9"/>
        <v>2025-03</v>
      </c>
      <c r="Q226">
        <f>IF(tblWO[[#This Row],[Status]]="Completed",1,
IF(tblWO[[#This Row],[Status]]="In Progress",2,
IF(tblWO[[#This Row],[Status]]="Planned",3,
IF(tblWO[[#This Row],[Status]]="Cancelled",4,99))))</f>
        <v>1</v>
      </c>
      <c r="R226">
        <f t="shared" si="10"/>
        <v>3</v>
      </c>
      <c r="S226" s="6" t="str">
        <f t="shared" si="11"/>
        <v>2025-03</v>
      </c>
    </row>
    <row r="227" spans="1:19">
      <c r="A227" t="s">
        <v>983</v>
      </c>
      <c r="B227" t="s">
        <v>71</v>
      </c>
      <c r="C227" t="s">
        <v>72</v>
      </c>
      <c r="D227" t="s">
        <v>146</v>
      </c>
      <c r="E227" t="s">
        <v>10</v>
      </c>
      <c r="F227" t="s">
        <v>202</v>
      </c>
      <c r="G227" t="s">
        <v>984</v>
      </c>
      <c r="H227" t="s">
        <v>985</v>
      </c>
      <c r="K227" s="2">
        <v>0</v>
      </c>
      <c r="L227" s="3">
        <v>0</v>
      </c>
      <c r="N227" t="s">
        <v>174</v>
      </c>
      <c r="O227" t="s">
        <v>982</v>
      </c>
      <c r="P227" t="str">
        <f t="shared" si="9"/>
        <v>2025-03</v>
      </c>
      <c r="Q227">
        <f>IF(tblWO[[#This Row],[Status]]="Completed",1,
IF(tblWO[[#This Row],[Status]]="In Progress",2,
IF(tblWO[[#This Row],[Status]]="Planned",3,
IF(tblWO[[#This Row],[Status]]="Cancelled",4,99))))</f>
        <v>3</v>
      </c>
      <c r="R227">
        <f t="shared" si="10"/>
        <v>3</v>
      </c>
      <c r="S227" s="6" t="str">
        <f t="shared" si="11"/>
        <v>2025-03</v>
      </c>
    </row>
    <row r="228" spans="1:19">
      <c r="A228" t="s">
        <v>986</v>
      </c>
      <c r="B228" t="s">
        <v>71</v>
      </c>
      <c r="C228" t="s">
        <v>72</v>
      </c>
      <c r="D228" t="s">
        <v>158</v>
      </c>
      <c r="E228" t="s">
        <v>45</v>
      </c>
      <c r="F228" t="s">
        <v>138</v>
      </c>
      <c r="G228" t="s">
        <v>987</v>
      </c>
      <c r="H228" t="s">
        <v>988</v>
      </c>
      <c r="I228" t="s">
        <v>988</v>
      </c>
      <c r="J228" t="s">
        <v>989</v>
      </c>
      <c r="K228" s="2">
        <v>2.1</v>
      </c>
      <c r="L228" s="3">
        <v>213420.84</v>
      </c>
      <c r="M228" t="s">
        <v>142</v>
      </c>
      <c r="N228" t="s">
        <v>150</v>
      </c>
      <c r="O228" t="s">
        <v>968</v>
      </c>
      <c r="P228" t="str">
        <f t="shared" si="9"/>
        <v>2025-05</v>
      </c>
      <c r="Q228">
        <f>IF(tblWO[[#This Row],[Status]]="Completed",1,
IF(tblWO[[#This Row],[Status]]="In Progress",2,
IF(tblWO[[#This Row],[Status]]="Planned",3,
IF(tblWO[[#This Row],[Status]]="Cancelled",4,99))))</f>
        <v>1</v>
      </c>
      <c r="R228">
        <f t="shared" si="10"/>
        <v>1</v>
      </c>
      <c r="S228" s="6" t="str">
        <f t="shared" si="11"/>
        <v>2025-05</v>
      </c>
    </row>
    <row r="229" spans="1:19">
      <c r="A229" t="s">
        <v>990</v>
      </c>
      <c r="B229" t="s">
        <v>71</v>
      </c>
      <c r="C229" t="s">
        <v>72</v>
      </c>
      <c r="D229" t="s">
        <v>158</v>
      </c>
      <c r="E229" t="s">
        <v>45</v>
      </c>
      <c r="F229" t="s">
        <v>138</v>
      </c>
      <c r="G229" t="s">
        <v>991</v>
      </c>
      <c r="H229" t="s">
        <v>992</v>
      </c>
      <c r="I229" t="s">
        <v>992</v>
      </c>
      <c r="J229" t="s">
        <v>993</v>
      </c>
      <c r="K229" s="2">
        <v>11.2</v>
      </c>
      <c r="L229" s="3">
        <v>271950.34999999998</v>
      </c>
      <c r="M229" t="s">
        <v>142</v>
      </c>
      <c r="N229" t="s">
        <v>239</v>
      </c>
      <c r="O229" t="s">
        <v>968</v>
      </c>
      <c r="P229" t="str">
        <f t="shared" si="9"/>
        <v>2025-02</v>
      </c>
      <c r="Q229">
        <f>IF(tblWO[[#This Row],[Status]]="Completed",1,
IF(tblWO[[#This Row],[Status]]="In Progress",2,
IF(tblWO[[#This Row],[Status]]="Planned",3,
IF(tblWO[[#This Row],[Status]]="Cancelled",4,99))))</f>
        <v>1</v>
      </c>
      <c r="R229">
        <f t="shared" si="10"/>
        <v>1</v>
      </c>
      <c r="S229" s="6" t="str">
        <f t="shared" si="11"/>
        <v>2025-02</v>
      </c>
    </row>
    <row r="230" spans="1:19">
      <c r="A230" t="s">
        <v>994</v>
      </c>
      <c r="B230" t="s">
        <v>71</v>
      </c>
      <c r="C230" t="s">
        <v>72</v>
      </c>
      <c r="D230" t="s">
        <v>146</v>
      </c>
      <c r="E230" t="s">
        <v>32</v>
      </c>
      <c r="F230" t="s">
        <v>138</v>
      </c>
      <c r="G230" t="s">
        <v>198</v>
      </c>
      <c r="H230" t="s">
        <v>199</v>
      </c>
      <c r="I230" t="s">
        <v>199</v>
      </c>
      <c r="J230" t="s">
        <v>995</v>
      </c>
      <c r="K230" s="2">
        <v>13.6</v>
      </c>
      <c r="L230" s="3">
        <v>281991.46999999997</v>
      </c>
      <c r="M230" t="s">
        <v>563</v>
      </c>
      <c r="N230" t="s">
        <v>342</v>
      </c>
      <c r="O230" t="s">
        <v>982</v>
      </c>
      <c r="P230" t="str">
        <f t="shared" si="9"/>
        <v>2025-05</v>
      </c>
      <c r="Q230">
        <f>IF(tblWO[[#This Row],[Status]]="Completed",1,
IF(tblWO[[#This Row],[Status]]="In Progress",2,
IF(tblWO[[#This Row],[Status]]="Planned",3,
IF(tblWO[[#This Row],[Status]]="Cancelled",4,99))))</f>
        <v>1</v>
      </c>
      <c r="R230">
        <f t="shared" si="10"/>
        <v>3</v>
      </c>
      <c r="S230" s="6" t="str">
        <f t="shared" si="11"/>
        <v>2025-05</v>
      </c>
    </row>
    <row r="231" spans="1:19">
      <c r="A231" t="s">
        <v>996</v>
      </c>
      <c r="B231" t="s">
        <v>71</v>
      </c>
      <c r="C231" t="s">
        <v>72</v>
      </c>
      <c r="D231" t="s">
        <v>158</v>
      </c>
      <c r="E231" t="s">
        <v>32</v>
      </c>
      <c r="F231" t="s">
        <v>138</v>
      </c>
      <c r="G231" t="s">
        <v>187</v>
      </c>
      <c r="H231" t="s">
        <v>188</v>
      </c>
      <c r="I231" t="s">
        <v>188</v>
      </c>
      <c r="J231" t="s">
        <v>997</v>
      </c>
      <c r="K231" s="2">
        <v>10.3</v>
      </c>
      <c r="L231" s="3">
        <v>240464.9</v>
      </c>
      <c r="M231" t="s">
        <v>142</v>
      </c>
      <c r="N231" t="s">
        <v>185</v>
      </c>
      <c r="O231" t="s">
        <v>968</v>
      </c>
      <c r="P231" t="str">
        <f t="shared" si="9"/>
        <v>2025-09</v>
      </c>
      <c r="Q231">
        <f>IF(tblWO[[#This Row],[Status]]="Completed",1,
IF(tblWO[[#This Row],[Status]]="In Progress",2,
IF(tblWO[[#This Row],[Status]]="Planned",3,
IF(tblWO[[#This Row],[Status]]="Cancelled",4,99))))</f>
        <v>1</v>
      </c>
      <c r="R231">
        <f t="shared" si="10"/>
        <v>1</v>
      </c>
      <c r="S231" s="6" t="str">
        <f t="shared" si="11"/>
        <v>2025-09</v>
      </c>
    </row>
    <row r="232" spans="1:19">
      <c r="A232" t="s">
        <v>998</v>
      </c>
      <c r="B232" t="s">
        <v>71</v>
      </c>
      <c r="C232" t="s">
        <v>72</v>
      </c>
      <c r="D232" t="s">
        <v>146</v>
      </c>
      <c r="E232" t="s">
        <v>10</v>
      </c>
      <c r="F232" t="s">
        <v>147</v>
      </c>
      <c r="G232" t="s">
        <v>999</v>
      </c>
      <c r="H232" t="s">
        <v>1000</v>
      </c>
      <c r="K232" s="2">
        <v>0</v>
      </c>
      <c r="L232" s="3">
        <v>0</v>
      </c>
      <c r="N232" t="s">
        <v>150</v>
      </c>
      <c r="O232" t="s">
        <v>982</v>
      </c>
      <c r="P232" t="str">
        <f t="shared" si="9"/>
        <v>2025-12</v>
      </c>
      <c r="Q232">
        <f>IF(tblWO[[#This Row],[Status]]="Completed",1,
IF(tblWO[[#This Row],[Status]]="In Progress",2,
IF(tblWO[[#This Row],[Status]]="Planned",3,
IF(tblWO[[#This Row],[Status]]="Cancelled",4,99))))</f>
        <v>2</v>
      </c>
      <c r="R232">
        <f t="shared" si="10"/>
        <v>3</v>
      </c>
      <c r="S232" s="6" t="str">
        <f t="shared" si="11"/>
        <v>2025-12</v>
      </c>
    </row>
    <row r="233" spans="1:19">
      <c r="A233" t="s">
        <v>1001</v>
      </c>
      <c r="B233" t="s">
        <v>71</v>
      </c>
      <c r="C233" t="s">
        <v>72</v>
      </c>
      <c r="D233" t="s">
        <v>146</v>
      </c>
      <c r="E233" t="s">
        <v>10</v>
      </c>
      <c r="F233" t="s">
        <v>138</v>
      </c>
      <c r="G233" t="s">
        <v>148</v>
      </c>
      <c r="H233" t="s">
        <v>149</v>
      </c>
      <c r="I233" t="s">
        <v>149</v>
      </c>
      <c r="J233" t="s">
        <v>1002</v>
      </c>
      <c r="K233" s="2">
        <v>8.1</v>
      </c>
      <c r="L233" s="3">
        <v>333259.07</v>
      </c>
      <c r="M233" t="s">
        <v>234</v>
      </c>
      <c r="N233" t="s">
        <v>185</v>
      </c>
      <c r="O233" t="s">
        <v>982</v>
      </c>
      <c r="P233" t="str">
        <f t="shared" si="9"/>
        <v>2025-03</v>
      </c>
      <c r="Q233">
        <f>IF(tblWO[[#This Row],[Status]]="Completed",1,
IF(tblWO[[#This Row],[Status]]="In Progress",2,
IF(tblWO[[#This Row],[Status]]="Planned",3,
IF(tblWO[[#This Row],[Status]]="Cancelled",4,99))))</f>
        <v>1</v>
      </c>
      <c r="R233">
        <f t="shared" si="10"/>
        <v>3</v>
      </c>
      <c r="S233" s="6" t="str">
        <f t="shared" si="11"/>
        <v>2025-03</v>
      </c>
    </row>
    <row r="234" spans="1:19">
      <c r="A234" t="s">
        <v>1003</v>
      </c>
      <c r="B234" t="s">
        <v>71</v>
      </c>
      <c r="C234" t="s">
        <v>72</v>
      </c>
      <c r="D234" t="s">
        <v>137</v>
      </c>
      <c r="E234" t="s">
        <v>45</v>
      </c>
      <c r="F234" t="s">
        <v>138</v>
      </c>
      <c r="G234" t="s">
        <v>502</v>
      </c>
      <c r="H234" t="s">
        <v>503</v>
      </c>
      <c r="I234" t="s">
        <v>503</v>
      </c>
      <c r="J234" t="s">
        <v>1004</v>
      </c>
      <c r="K234" s="2">
        <v>2.4</v>
      </c>
      <c r="L234" s="3">
        <v>24618.94</v>
      </c>
      <c r="M234" t="s">
        <v>142</v>
      </c>
      <c r="N234" t="s">
        <v>156</v>
      </c>
      <c r="O234" t="s">
        <v>1005</v>
      </c>
      <c r="P234" t="str">
        <f t="shared" si="9"/>
        <v>2025-08</v>
      </c>
      <c r="Q234">
        <f>IF(tblWO[[#This Row],[Status]]="Completed",1,
IF(tblWO[[#This Row],[Status]]="In Progress",2,
IF(tblWO[[#This Row],[Status]]="Planned",3,
IF(tblWO[[#This Row],[Status]]="Cancelled",4,99))))</f>
        <v>1</v>
      </c>
      <c r="R234">
        <f t="shared" si="10"/>
        <v>2</v>
      </c>
      <c r="S234" s="6" t="str">
        <f t="shared" si="11"/>
        <v>2025-08</v>
      </c>
    </row>
    <row r="235" spans="1:19">
      <c r="A235" t="s">
        <v>1006</v>
      </c>
      <c r="B235" t="s">
        <v>75</v>
      </c>
      <c r="C235" t="s">
        <v>76</v>
      </c>
      <c r="D235" t="s">
        <v>169</v>
      </c>
      <c r="E235" t="s">
        <v>45</v>
      </c>
      <c r="F235" t="s">
        <v>138</v>
      </c>
      <c r="G235" t="s">
        <v>1007</v>
      </c>
      <c r="H235" t="s">
        <v>1008</v>
      </c>
      <c r="I235" t="s">
        <v>1008</v>
      </c>
      <c r="J235" t="s">
        <v>1009</v>
      </c>
      <c r="K235" s="2">
        <v>9.8000000000000007</v>
      </c>
      <c r="L235" s="3">
        <v>406717.32</v>
      </c>
      <c r="M235" t="s">
        <v>213</v>
      </c>
      <c r="N235" t="s">
        <v>185</v>
      </c>
      <c r="O235" t="s">
        <v>1010</v>
      </c>
      <c r="P235" t="str">
        <f t="shared" si="9"/>
        <v>2025-05</v>
      </c>
      <c r="Q235">
        <f>IF(tblWO[[#This Row],[Status]]="Completed",1,
IF(tblWO[[#This Row],[Status]]="In Progress",2,
IF(tblWO[[#This Row],[Status]]="Planned",3,
IF(tblWO[[#This Row],[Status]]="Cancelled",4,99))))</f>
        <v>1</v>
      </c>
      <c r="R235">
        <f t="shared" si="10"/>
        <v>4</v>
      </c>
      <c r="S235" s="6" t="str">
        <f t="shared" si="11"/>
        <v>2025-05</v>
      </c>
    </row>
    <row r="236" spans="1:19">
      <c r="A236" t="s">
        <v>1011</v>
      </c>
      <c r="B236" t="s">
        <v>75</v>
      </c>
      <c r="C236" t="s">
        <v>76</v>
      </c>
      <c r="D236" t="s">
        <v>146</v>
      </c>
      <c r="E236" t="s">
        <v>37</v>
      </c>
      <c r="F236" t="s">
        <v>138</v>
      </c>
      <c r="G236" t="s">
        <v>285</v>
      </c>
      <c r="H236" t="s">
        <v>286</v>
      </c>
      <c r="I236" t="s">
        <v>286</v>
      </c>
      <c r="J236" t="s">
        <v>1012</v>
      </c>
      <c r="K236" s="2">
        <v>7.6</v>
      </c>
      <c r="L236" s="3">
        <v>154171.54999999999</v>
      </c>
      <c r="M236" t="s">
        <v>670</v>
      </c>
      <c r="N236" t="s">
        <v>174</v>
      </c>
      <c r="O236" t="s">
        <v>1013</v>
      </c>
      <c r="P236" t="str">
        <f t="shared" si="9"/>
        <v>2025-01</v>
      </c>
      <c r="Q236">
        <f>IF(tblWO[[#This Row],[Status]]="Completed",1,
IF(tblWO[[#This Row],[Status]]="In Progress",2,
IF(tblWO[[#This Row],[Status]]="Planned",3,
IF(tblWO[[#This Row],[Status]]="Cancelled",4,99))))</f>
        <v>1</v>
      </c>
      <c r="R236">
        <f t="shared" si="10"/>
        <v>3</v>
      </c>
      <c r="S236" s="6" t="str">
        <f t="shared" si="11"/>
        <v>2025-01</v>
      </c>
    </row>
    <row r="237" spans="1:19">
      <c r="A237" t="s">
        <v>1014</v>
      </c>
      <c r="B237" t="s">
        <v>75</v>
      </c>
      <c r="C237" t="s">
        <v>76</v>
      </c>
      <c r="D237" t="s">
        <v>158</v>
      </c>
      <c r="E237" t="s">
        <v>37</v>
      </c>
      <c r="F237" t="s">
        <v>147</v>
      </c>
      <c r="G237" t="s">
        <v>264</v>
      </c>
      <c r="H237" t="s">
        <v>265</v>
      </c>
      <c r="K237" s="2">
        <v>0</v>
      </c>
      <c r="L237" s="3">
        <v>0</v>
      </c>
      <c r="N237" t="s">
        <v>185</v>
      </c>
      <c r="O237" t="s">
        <v>1015</v>
      </c>
      <c r="P237" t="str">
        <f t="shared" si="9"/>
        <v>2025-07</v>
      </c>
      <c r="Q237">
        <f>IF(tblWO[[#This Row],[Status]]="Completed",1,
IF(tblWO[[#This Row],[Status]]="In Progress",2,
IF(tblWO[[#This Row],[Status]]="Planned",3,
IF(tblWO[[#This Row],[Status]]="Cancelled",4,99))))</f>
        <v>2</v>
      </c>
      <c r="R237">
        <f t="shared" si="10"/>
        <v>1</v>
      </c>
      <c r="S237" s="6" t="str">
        <f t="shared" si="11"/>
        <v>2025-07</v>
      </c>
    </row>
    <row r="238" spans="1:19">
      <c r="A238" t="s">
        <v>1016</v>
      </c>
      <c r="B238" t="s">
        <v>75</v>
      </c>
      <c r="C238" t="s">
        <v>76</v>
      </c>
      <c r="D238" t="s">
        <v>146</v>
      </c>
      <c r="E238" t="s">
        <v>10</v>
      </c>
      <c r="F238" t="s">
        <v>147</v>
      </c>
      <c r="G238" t="s">
        <v>358</v>
      </c>
      <c r="H238" t="s">
        <v>359</v>
      </c>
      <c r="K238" s="2">
        <v>0</v>
      </c>
      <c r="L238" s="3">
        <v>0</v>
      </c>
      <c r="N238" t="s">
        <v>174</v>
      </c>
      <c r="O238" t="s">
        <v>1013</v>
      </c>
      <c r="P238" t="str">
        <f t="shared" si="9"/>
        <v>2025-09</v>
      </c>
      <c r="Q238">
        <f>IF(tblWO[[#This Row],[Status]]="Completed",1,
IF(tblWO[[#This Row],[Status]]="In Progress",2,
IF(tblWO[[#This Row],[Status]]="Planned",3,
IF(tblWO[[#This Row],[Status]]="Cancelled",4,99))))</f>
        <v>2</v>
      </c>
      <c r="R238">
        <f t="shared" si="10"/>
        <v>3</v>
      </c>
      <c r="S238" s="6" t="str">
        <f t="shared" si="11"/>
        <v>2025-09</v>
      </c>
    </row>
    <row r="239" spans="1:19">
      <c r="A239" t="s">
        <v>1017</v>
      </c>
      <c r="B239" t="s">
        <v>75</v>
      </c>
      <c r="C239" t="s">
        <v>76</v>
      </c>
      <c r="D239" t="s">
        <v>146</v>
      </c>
      <c r="E239" t="s">
        <v>32</v>
      </c>
      <c r="F239" t="s">
        <v>138</v>
      </c>
      <c r="G239" t="s">
        <v>847</v>
      </c>
      <c r="H239" t="s">
        <v>848</v>
      </c>
      <c r="I239" t="s">
        <v>848</v>
      </c>
      <c r="J239" t="s">
        <v>1018</v>
      </c>
      <c r="K239" s="2">
        <v>13.3</v>
      </c>
      <c r="L239" s="3">
        <v>387637.59</v>
      </c>
      <c r="M239" t="s">
        <v>142</v>
      </c>
      <c r="N239" t="s">
        <v>174</v>
      </c>
      <c r="O239" t="s">
        <v>1013</v>
      </c>
      <c r="P239" t="str">
        <f t="shared" si="9"/>
        <v>2025-04</v>
      </c>
      <c r="Q239">
        <f>IF(tblWO[[#This Row],[Status]]="Completed",1,
IF(tblWO[[#This Row],[Status]]="In Progress",2,
IF(tblWO[[#This Row],[Status]]="Planned",3,
IF(tblWO[[#This Row],[Status]]="Cancelled",4,99))))</f>
        <v>1</v>
      </c>
      <c r="R239">
        <f t="shared" si="10"/>
        <v>3</v>
      </c>
      <c r="S239" s="6" t="str">
        <f t="shared" si="11"/>
        <v>2025-04</v>
      </c>
    </row>
    <row r="240" spans="1:19">
      <c r="A240" t="s">
        <v>1019</v>
      </c>
      <c r="B240" t="s">
        <v>75</v>
      </c>
      <c r="C240" t="s">
        <v>76</v>
      </c>
      <c r="D240" t="s">
        <v>146</v>
      </c>
      <c r="E240" t="s">
        <v>37</v>
      </c>
      <c r="F240" t="s">
        <v>138</v>
      </c>
      <c r="G240" t="s">
        <v>937</v>
      </c>
      <c r="H240" t="s">
        <v>938</v>
      </c>
      <c r="I240" t="s">
        <v>938</v>
      </c>
      <c r="J240" t="s">
        <v>1020</v>
      </c>
      <c r="K240" s="2">
        <v>21.5</v>
      </c>
      <c r="L240" s="3">
        <v>406195.97</v>
      </c>
      <c r="M240" t="s">
        <v>308</v>
      </c>
      <c r="N240" t="s">
        <v>162</v>
      </c>
      <c r="O240" t="s">
        <v>1013</v>
      </c>
      <c r="P240" t="str">
        <f t="shared" si="9"/>
        <v>2025-04</v>
      </c>
      <c r="Q240">
        <f>IF(tblWO[[#This Row],[Status]]="Completed",1,
IF(tblWO[[#This Row],[Status]]="In Progress",2,
IF(tblWO[[#This Row],[Status]]="Planned",3,
IF(tblWO[[#This Row],[Status]]="Cancelled",4,99))))</f>
        <v>1</v>
      </c>
      <c r="R240">
        <f t="shared" si="10"/>
        <v>3</v>
      </c>
      <c r="S240" s="6" t="str">
        <f t="shared" si="11"/>
        <v>2025-04</v>
      </c>
    </row>
    <row r="241" spans="1:19">
      <c r="A241" t="s">
        <v>1021</v>
      </c>
      <c r="B241" t="s">
        <v>75</v>
      </c>
      <c r="C241" t="s">
        <v>76</v>
      </c>
      <c r="D241" t="s">
        <v>169</v>
      </c>
      <c r="E241" t="s">
        <v>10</v>
      </c>
      <c r="F241" t="s">
        <v>147</v>
      </c>
      <c r="G241" t="s">
        <v>648</v>
      </c>
      <c r="H241" t="s">
        <v>649</v>
      </c>
      <c r="K241" s="2">
        <v>0</v>
      </c>
      <c r="L241" s="3">
        <v>0</v>
      </c>
      <c r="N241" t="s">
        <v>150</v>
      </c>
      <c r="O241" t="s">
        <v>1010</v>
      </c>
      <c r="P241" t="str">
        <f t="shared" si="9"/>
        <v>2025-11</v>
      </c>
      <c r="Q241">
        <f>IF(tblWO[[#This Row],[Status]]="Completed",1,
IF(tblWO[[#This Row],[Status]]="In Progress",2,
IF(tblWO[[#This Row],[Status]]="Planned",3,
IF(tblWO[[#This Row],[Status]]="Cancelled",4,99))))</f>
        <v>2</v>
      </c>
      <c r="R241">
        <f t="shared" si="10"/>
        <v>4</v>
      </c>
      <c r="S241" s="6" t="str">
        <f t="shared" si="11"/>
        <v>2025-11</v>
      </c>
    </row>
    <row r="242" spans="1:19">
      <c r="A242" t="s">
        <v>1022</v>
      </c>
      <c r="B242" t="s">
        <v>75</v>
      </c>
      <c r="C242" t="s">
        <v>76</v>
      </c>
      <c r="D242" t="s">
        <v>158</v>
      </c>
      <c r="E242" t="s">
        <v>45</v>
      </c>
      <c r="F242" t="s">
        <v>138</v>
      </c>
      <c r="G242" t="s">
        <v>1023</v>
      </c>
      <c r="H242" t="s">
        <v>1024</v>
      </c>
      <c r="I242" t="s">
        <v>1024</v>
      </c>
      <c r="J242" t="s">
        <v>1025</v>
      </c>
      <c r="K242" s="2">
        <v>2.5</v>
      </c>
      <c r="L242" s="3">
        <v>235135.27</v>
      </c>
      <c r="M242" t="s">
        <v>142</v>
      </c>
      <c r="N242" t="s">
        <v>174</v>
      </c>
      <c r="O242" t="s">
        <v>1015</v>
      </c>
      <c r="P242" t="str">
        <f t="shared" si="9"/>
        <v>2025-10</v>
      </c>
      <c r="Q242">
        <f>IF(tblWO[[#This Row],[Status]]="Completed",1,
IF(tblWO[[#This Row],[Status]]="In Progress",2,
IF(tblWO[[#This Row],[Status]]="Planned",3,
IF(tblWO[[#This Row],[Status]]="Cancelled",4,99))))</f>
        <v>1</v>
      </c>
      <c r="R242">
        <f t="shared" si="10"/>
        <v>1</v>
      </c>
      <c r="S242" s="6" t="str">
        <f t="shared" si="11"/>
        <v>2025-10</v>
      </c>
    </row>
    <row r="243" spans="1:19">
      <c r="A243" t="s">
        <v>1026</v>
      </c>
      <c r="B243" t="s">
        <v>75</v>
      </c>
      <c r="C243" t="s">
        <v>76</v>
      </c>
      <c r="D243" t="s">
        <v>158</v>
      </c>
      <c r="E243" t="s">
        <v>10</v>
      </c>
      <c r="F243" t="s">
        <v>147</v>
      </c>
      <c r="G243" t="s">
        <v>358</v>
      </c>
      <c r="H243" t="s">
        <v>359</v>
      </c>
      <c r="K243" s="2">
        <v>0</v>
      </c>
      <c r="L243" s="3">
        <v>0</v>
      </c>
      <c r="N243" t="s">
        <v>239</v>
      </c>
      <c r="O243" t="s">
        <v>1015</v>
      </c>
      <c r="P243" t="str">
        <f t="shared" si="9"/>
        <v>2025-09</v>
      </c>
      <c r="Q243">
        <f>IF(tblWO[[#This Row],[Status]]="Completed",1,
IF(tblWO[[#This Row],[Status]]="In Progress",2,
IF(tblWO[[#This Row],[Status]]="Planned",3,
IF(tblWO[[#This Row],[Status]]="Cancelled",4,99))))</f>
        <v>2</v>
      </c>
      <c r="R243">
        <f t="shared" si="10"/>
        <v>1</v>
      </c>
      <c r="S243" s="6" t="str">
        <f t="shared" si="11"/>
        <v>2025-09</v>
      </c>
    </row>
    <row r="244" spans="1:19">
      <c r="A244" t="s">
        <v>1027</v>
      </c>
      <c r="B244" t="s">
        <v>75</v>
      </c>
      <c r="C244" t="s">
        <v>76</v>
      </c>
      <c r="D244" t="s">
        <v>158</v>
      </c>
      <c r="E244" t="s">
        <v>45</v>
      </c>
      <c r="F244" t="s">
        <v>138</v>
      </c>
      <c r="G244" t="s">
        <v>373</v>
      </c>
      <c r="H244" t="s">
        <v>374</v>
      </c>
      <c r="I244" t="s">
        <v>374</v>
      </c>
      <c r="J244" t="s">
        <v>1028</v>
      </c>
      <c r="K244" s="2">
        <v>5.2</v>
      </c>
      <c r="L244" s="3">
        <v>125441.11</v>
      </c>
      <c r="M244" t="s">
        <v>142</v>
      </c>
      <c r="N244" t="s">
        <v>143</v>
      </c>
      <c r="O244" t="s">
        <v>1015</v>
      </c>
      <c r="P244" t="str">
        <f t="shared" si="9"/>
        <v>2025-10</v>
      </c>
      <c r="Q244">
        <f>IF(tblWO[[#This Row],[Status]]="Completed",1,
IF(tblWO[[#This Row],[Status]]="In Progress",2,
IF(tblWO[[#This Row],[Status]]="Planned",3,
IF(tblWO[[#This Row],[Status]]="Cancelled",4,99))))</f>
        <v>1</v>
      </c>
      <c r="R244">
        <f t="shared" si="10"/>
        <v>1</v>
      </c>
      <c r="S244" s="6" t="str">
        <f t="shared" si="11"/>
        <v>2025-10</v>
      </c>
    </row>
    <row r="245" spans="1:19">
      <c r="A245" t="s">
        <v>1029</v>
      </c>
      <c r="B245" t="s">
        <v>75</v>
      </c>
      <c r="C245" t="s">
        <v>76</v>
      </c>
      <c r="D245" t="s">
        <v>463</v>
      </c>
      <c r="E245" t="s">
        <v>10</v>
      </c>
      <c r="F245" t="s">
        <v>138</v>
      </c>
      <c r="G245" t="s">
        <v>1030</v>
      </c>
      <c r="H245" t="s">
        <v>1031</v>
      </c>
      <c r="I245" t="s">
        <v>1031</v>
      </c>
      <c r="J245" t="s">
        <v>1032</v>
      </c>
      <c r="K245" s="2">
        <v>115.1</v>
      </c>
      <c r="L245" s="3">
        <v>1379713.89</v>
      </c>
      <c r="M245" t="s">
        <v>390</v>
      </c>
      <c r="N245" t="s">
        <v>143</v>
      </c>
      <c r="O245" t="s">
        <v>1033</v>
      </c>
      <c r="P245" t="str">
        <f t="shared" si="9"/>
        <v>2025-09</v>
      </c>
      <c r="Q245">
        <f>IF(tblWO[[#This Row],[Status]]="Completed",1,
IF(tblWO[[#This Row],[Status]]="In Progress",2,
IF(tblWO[[#This Row],[Status]]="Planned",3,
IF(tblWO[[#This Row],[Status]]="Cancelled",4,99))))</f>
        <v>1</v>
      </c>
      <c r="R245">
        <f t="shared" si="10"/>
        <v>5</v>
      </c>
      <c r="S245" s="6" t="str">
        <f t="shared" si="11"/>
        <v>2025-09</v>
      </c>
    </row>
    <row r="246" spans="1:19">
      <c r="A246" t="s">
        <v>1034</v>
      </c>
      <c r="B246" t="s">
        <v>75</v>
      </c>
      <c r="C246" t="s">
        <v>76</v>
      </c>
      <c r="D246" t="s">
        <v>146</v>
      </c>
      <c r="E246" t="s">
        <v>32</v>
      </c>
      <c r="F246" t="s">
        <v>202</v>
      </c>
      <c r="G246" t="s">
        <v>1035</v>
      </c>
      <c r="H246" t="s">
        <v>1036</v>
      </c>
      <c r="K246" s="2">
        <v>0</v>
      </c>
      <c r="L246" s="3">
        <v>0</v>
      </c>
      <c r="N246" t="s">
        <v>174</v>
      </c>
      <c r="O246" t="s">
        <v>1013</v>
      </c>
      <c r="P246" t="str">
        <f t="shared" si="9"/>
        <v>2025-10</v>
      </c>
      <c r="Q246">
        <f>IF(tblWO[[#This Row],[Status]]="Completed",1,
IF(tblWO[[#This Row],[Status]]="In Progress",2,
IF(tblWO[[#This Row],[Status]]="Planned",3,
IF(tblWO[[#This Row],[Status]]="Cancelled",4,99))))</f>
        <v>3</v>
      </c>
      <c r="R246">
        <f t="shared" si="10"/>
        <v>3</v>
      </c>
      <c r="S246" s="6" t="str">
        <f t="shared" si="11"/>
        <v>2025-10</v>
      </c>
    </row>
    <row r="247" spans="1:19">
      <c r="A247" t="s">
        <v>1037</v>
      </c>
      <c r="B247" t="s">
        <v>75</v>
      </c>
      <c r="C247" t="s">
        <v>76</v>
      </c>
      <c r="D247" t="s">
        <v>169</v>
      </c>
      <c r="E247" t="s">
        <v>37</v>
      </c>
      <c r="F247" t="s">
        <v>138</v>
      </c>
      <c r="G247" t="s">
        <v>592</v>
      </c>
      <c r="H247" t="s">
        <v>593</v>
      </c>
      <c r="I247" t="s">
        <v>593</v>
      </c>
      <c r="J247" t="s">
        <v>1038</v>
      </c>
      <c r="K247" s="2">
        <v>38.200000000000003</v>
      </c>
      <c r="L247" s="3">
        <v>484111.29</v>
      </c>
      <c r="M247" t="s">
        <v>249</v>
      </c>
      <c r="N247" t="s">
        <v>150</v>
      </c>
      <c r="O247" t="s">
        <v>1010</v>
      </c>
      <c r="P247" t="str">
        <f t="shared" si="9"/>
        <v>2025-12</v>
      </c>
      <c r="Q247">
        <f>IF(tblWO[[#This Row],[Status]]="Completed",1,
IF(tblWO[[#This Row],[Status]]="In Progress",2,
IF(tblWO[[#This Row],[Status]]="Planned",3,
IF(tblWO[[#This Row],[Status]]="Cancelled",4,99))))</f>
        <v>1</v>
      </c>
      <c r="R247">
        <f t="shared" si="10"/>
        <v>4</v>
      </c>
      <c r="S247" s="6" t="str">
        <f t="shared" si="11"/>
        <v>2025-12</v>
      </c>
    </row>
    <row r="248" spans="1:19">
      <c r="A248" t="s">
        <v>1039</v>
      </c>
      <c r="B248" t="s">
        <v>75</v>
      </c>
      <c r="C248" t="s">
        <v>76</v>
      </c>
      <c r="D248" t="s">
        <v>158</v>
      </c>
      <c r="E248" t="s">
        <v>10</v>
      </c>
      <c r="F248" t="s">
        <v>138</v>
      </c>
      <c r="G248" t="s">
        <v>281</v>
      </c>
      <c r="H248" t="s">
        <v>282</v>
      </c>
      <c r="I248" t="s">
        <v>282</v>
      </c>
      <c r="J248" t="s">
        <v>1040</v>
      </c>
      <c r="K248" s="2">
        <v>6.1</v>
      </c>
      <c r="L248" s="3">
        <v>154126.97</v>
      </c>
      <c r="M248" t="s">
        <v>142</v>
      </c>
      <c r="N248" t="s">
        <v>143</v>
      </c>
      <c r="O248" t="s">
        <v>1015</v>
      </c>
      <c r="P248" t="str">
        <f t="shared" si="9"/>
        <v>2025-12</v>
      </c>
      <c r="Q248">
        <f>IF(tblWO[[#This Row],[Status]]="Completed",1,
IF(tblWO[[#This Row],[Status]]="In Progress",2,
IF(tblWO[[#This Row],[Status]]="Planned",3,
IF(tblWO[[#This Row],[Status]]="Cancelled",4,99))))</f>
        <v>1</v>
      </c>
      <c r="R248">
        <f t="shared" si="10"/>
        <v>1</v>
      </c>
      <c r="S248" s="6" t="str">
        <f t="shared" si="11"/>
        <v>2025-12</v>
      </c>
    </row>
    <row r="249" spans="1:19">
      <c r="A249" t="s">
        <v>1041</v>
      </c>
      <c r="B249" t="s">
        <v>79</v>
      </c>
      <c r="C249" t="s">
        <v>80</v>
      </c>
      <c r="D249" t="s">
        <v>158</v>
      </c>
      <c r="E249" t="s">
        <v>45</v>
      </c>
      <c r="F249" t="s">
        <v>138</v>
      </c>
      <c r="G249" t="s">
        <v>1042</v>
      </c>
      <c r="H249" t="s">
        <v>1043</v>
      </c>
      <c r="I249" t="s">
        <v>1043</v>
      </c>
      <c r="J249" t="s">
        <v>1044</v>
      </c>
      <c r="K249" s="2">
        <v>5.7</v>
      </c>
      <c r="L249" s="3">
        <v>183908.88</v>
      </c>
      <c r="M249" t="s">
        <v>142</v>
      </c>
      <c r="N249" t="s">
        <v>150</v>
      </c>
      <c r="O249" t="s">
        <v>1045</v>
      </c>
      <c r="P249" t="str">
        <f t="shared" si="9"/>
        <v>2025-04</v>
      </c>
      <c r="Q249">
        <f>IF(tblWO[[#This Row],[Status]]="Completed",1,
IF(tblWO[[#This Row],[Status]]="In Progress",2,
IF(tblWO[[#This Row],[Status]]="Planned",3,
IF(tblWO[[#This Row],[Status]]="Cancelled",4,99))))</f>
        <v>1</v>
      </c>
      <c r="R249">
        <f t="shared" si="10"/>
        <v>1</v>
      </c>
      <c r="S249" s="6" t="str">
        <f t="shared" si="11"/>
        <v>2025-04</v>
      </c>
    </row>
    <row r="250" spans="1:19">
      <c r="A250" t="s">
        <v>1046</v>
      </c>
      <c r="B250" t="s">
        <v>79</v>
      </c>
      <c r="C250" t="s">
        <v>80</v>
      </c>
      <c r="D250" t="s">
        <v>158</v>
      </c>
      <c r="E250" t="s">
        <v>32</v>
      </c>
      <c r="F250" t="s">
        <v>138</v>
      </c>
      <c r="G250" t="s">
        <v>1047</v>
      </c>
      <c r="H250" t="s">
        <v>1048</v>
      </c>
      <c r="I250" t="s">
        <v>1048</v>
      </c>
      <c r="J250" t="s">
        <v>1049</v>
      </c>
      <c r="K250" s="2">
        <v>3.9</v>
      </c>
      <c r="L250" s="3">
        <v>240424.1</v>
      </c>
      <c r="M250" t="s">
        <v>142</v>
      </c>
      <c r="N250" t="s">
        <v>150</v>
      </c>
      <c r="O250" t="s">
        <v>1045</v>
      </c>
      <c r="P250" t="str">
        <f t="shared" si="9"/>
        <v>2025-07</v>
      </c>
      <c r="Q250">
        <f>IF(tblWO[[#This Row],[Status]]="Completed",1,
IF(tblWO[[#This Row],[Status]]="In Progress",2,
IF(tblWO[[#This Row],[Status]]="Planned",3,
IF(tblWO[[#This Row],[Status]]="Cancelled",4,99))))</f>
        <v>1</v>
      </c>
      <c r="R250">
        <f t="shared" si="10"/>
        <v>1</v>
      </c>
      <c r="S250" s="6" t="str">
        <f t="shared" si="11"/>
        <v>2025-07</v>
      </c>
    </row>
    <row r="251" spans="1:19">
      <c r="A251" t="s">
        <v>1050</v>
      </c>
      <c r="B251" t="s">
        <v>79</v>
      </c>
      <c r="C251" t="s">
        <v>80</v>
      </c>
      <c r="D251" t="s">
        <v>158</v>
      </c>
      <c r="E251" t="s">
        <v>37</v>
      </c>
      <c r="F251" t="s">
        <v>147</v>
      </c>
      <c r="G251" t="s">
        <v>260</v>
      </c>
      <c r="H251" t="s">
        <v>261</v>
      </c>
      <c r="K251" s="2">
        <v>0</v>
      </c>
      <c r="L251" s="3">
        <v>0</v>
      </c>
      <c r="N251" t="s">
        <v>150</v>
      </c>
      <c r="O251" t="s">
        <v>1045</v>
      </c>
      <c r="P251" t="str">
        <f t="shared" si="9"/>
        <v>2025-06</v>
      </c>
      <c r="Q251">
        <f>IF(tblWO[[#This Row],[Status]]="Completed",1,
IF(tblWO[[#This Row],[Status]]="In Progress",2,
IF(tblWO[[#This Row],[Status]]="Planned",3,
IF(tblWO[[#This Row],[Status]]="Cancelled",4,99))))</f>
        <v>2</v>
      </c>
      <c r="R251">
        <f t="shared" si="10"/>
        <v>1</v>
      </c>
      <c r="S251" s="6" t="str">
        <f t="shared" si="11"/>
        <v>2025-06</v>
      </c>
    </row>
    <row r="252" spans="1:19">
      <c r="A252" t="s">
        <v>1051</v>
      </c>
      <c r="B252" t="s">
        <v>79</v>
      </c>
      <c r="C252" t="s">
        <v>80</v>
      </c>
      <c r="D252" t="s">
        <v>463</v>
      </c>
      <c r="E252" t="s">
        <v>32</v>
      </c>
      <c r="F252" t="s">
        <v>138</v>
      </c>
      <c r="G252" t="s">
        <v>991</v>
      </c>
      <c r="H252" t="s">
        <v>992</v>
      </c>
      <c r="I252" t="s">
        <v>992</v>
      </c>
      <c r="J252" t="s">
        <v>1052</v>
      </c>
      <c r="K252" s="2">
        <v>90.8</v>
      </c>
      <c r="L252" s="3">
        <v>1203768.58</v>
      </c>
      <c r="M252" t="s">
        <v>390</v>
      </c>
      <c r="N252" t="s">
        <v>174</v>
      </c>
      <c r="O252" t="s">
        <v>1053</v>
      </c>
      <c r="P252" t="str">
        <f t="shared" si="9"/>
        <v>2025-02</v>
      </c>
      <c r="Q252">
        <f>IF(tblWO[[#This Row],[Status]]="Completed",1,
IF(tblWO[[#This Row],[Status]]="In Progress",2,
IF(tblWO[[#This Row],[Status]]="Planned",3,
IF(tblWO[[#This Row],[Status]]="Cancelled",4,99))))</f>
        <v>1</v>
      </c>
      <c r="R252">
        <f t="shared" si="10"/>
        <v>5</v>
      </c>
      <c r="S252" s="6" t="str">
        <f t="shared" si="11"/>
        <v>2025-02</v>
      </c>
    </row>
    <row r="253" spans="1:19">
      <c r="A253" t="s">
        <v>1054</v>
      </c>
      <c r="B253" t="s">
        <v>79</v>
      </c>
      <c r="C253" t="s">
        <v>80</v>
      </c>
      <c r="D253" t="s">
        <v>137</v>
      </c>
      <c r="E253" t="s">
        <v>45</v>
      </c>
      <c r="F253" t="s">
        <v>138</v>
      </c>
      <c r="G253" t="s">
        <v>487</v>
      </c>
      <c r="H253" t="s">
        <v>488</v>
      </c>
      <c r="I253" t="s">
        <v>488</v>
      </c>
      <c r="J253" t="s">
        <v>1055</v>
      </c>
      <c r="K253" s="2">
        <v>2.9</v>
      </c>
      <c r="L253" s="3">
        <v>44673.78</v>
      </c>
      <c r="M253" t="s">
        <v>142</v>
      </c>
      <c r="N253" t="s">
        <v>342</v>
      </c>
      <c r="O253" t="s">
        <v>1056</v>
      </c>
      <c r="P253" t="str">
        <f t="shared" si="9"/>
        <v>2025-09</v>
      </c>
      <c r="Q253">
        <f>IF(tblWO[[#This Row],[Status]]="Completed",1,
IF(tblWO[[#This Row],[Status]]="In Progress",2,
IF(tblWO[[#This Row],[Status]]="Planned",3,
IF(tblWO[[#This Row],[Status]]="Cancelled",4,99))))</f>
        <v>1</v>
      </c>
      <c r="R253">
        <f t="shared" si="10"/>
        <v>2</v>
      </c>
      <c r="S253" s="6" t="str">
        <f t="shared" si="11"/>
        <v>2025-09</v>
      </c>
    </row>
    <row r="254" spans="1:19">
      <c r="A254" t="s">
        <v>1057</v>
      </c>
      <c r="B254" t="s">
        <v>79</v>
      </c>
      <c r="C254" t="s">
        <v>80</v>
      </c>
      <c r="D254" t="s">
        <v>146</v>
      </c>
      <c r="E254" t="s">
        <v>45</v>
      </c>
      <c r="F254" t="s">
        <v>271</v>
      </c>
      <c r="G254" t="s">
        <v>543</v>
      </c>
      <c r="H254" t="s">
        <v>544</v>
      </c>
      <c r="K254" s="2">
        <v>0</v>
      </c>
      <c r="L254" s="3">
        <v>0</v>
      </c>
      <c r="N254" t="s">
        <v>342</v>
      </c>
      <c r="O254" t="s">
        <v>1058</v>
      </c>
      <c r="P254" t="str">
        <f t="shared" si="9"/>
        <v>2025-08</v>
      </c>
      <c r="Q254">
        <f>IF(tblWO[[#This Row],[Status]]="Completed",1,
IF(tblWO[[#This Row],[Status]]="In Progress",2,
IF(tblWO[[#This Row],[Status]]="Planned",3,
IF(tblWO[[#This Row],[Status]]="Cancelled",4,99))))</f>
        <v>4</v>
      </c>
      <c r="R254">
        <f t="shared" si="10"/>
        <v>3</v>
      </c>
      <c r="S254" s="6" t="str">
        <f t="shared" si="11"/>
        <v>2025-08</v>
      </c>
    </row>
    <row r="255" spans="1:19">
      <c r="A255" t="s">
        <v>1059</v>
      </c>
      <c r="B255" t="s">
        <v>79</v>
      </c>
      <c r="C255" t="s">
        <v>80</v>
      </c>
      <c r="D255" t="s">
        <v>137</v>
      </c>
      <c r="E255" t="s">
        <v>32</v>
      </c>
      <c r="F255" t="s">
        <v>138</v>
      </c>
      <c r="G255" t="s">
        <v>1060</v>
      </c>
      <c r="H255" t="s">
        <v>1061</v>
      </c>
      <c r="I255" t="s">
        <v>1061</v>
      </c>
      <c r="J255" t="s">
        <v>1062</v>
      </c>
      <c r="K255" s="2">
        <v>3.2</v>
      </c>
      <c r="L255" s="3">
        <v>21297.59</v>
      </c>
      <c r="M255" t="s">
        <v>142</v>
      </c>
      <c r="N255" t="s">
        <v>174</v>
      </c>
      <c r="O255" t="s">
        <v>1056</v>
      </c>
      <c r="P255" t="str">
        <f t="shared" si="9"/>
        <v>2025-06</v>
      </c>
      <c r="Q255">
        <f>IF(tblWO[[#This Row],[Status]]="Completed",1,
IF(tblWO[[#This Row],[Status]]="In Progress",2,
IF(tblWO[[#This Row],[Status]]="Planned",3,
IF(tblWO[[#This Row],[Status]]="Cancelled",4,99))))</f>
        <v>1</v>
      </c>
      <c r="R255">
        <f t="shared" si="10"/>
        <v>2</v>
      </c>
      <c r="S255" s="6" t="str">
        <f t="shared" si="11"/>
        <v>2025-06</v>
      </c>
    </row>
    <row r="256" spans="1:19">
      <c r="A256" t="s">
        <v>1063</v>
      </c>
      <c r="B256" t="s">
        <v>79</v>
      </c>
      <c r="C256" t="s">
        <v>80</v>
      </c>
      <c r="D256" t="s">
        <v>158</v>
      </c>
      <c r="E256" t="s">
        <v>32</v>
      </c>
      <c r="F256" t="s">
        <v>138</v>
      </c>
      <c r="G256" t="s">
        <v>865</v>
      </c>
      <c r="H256" t="s">
        <v>866</v>
      </c>
      <c r="I256" t="s">
        <v>866</v>
      </c>
      <c r="J256" t="s">
        <v>1064</v>
      </c>
      <c r="K256" s="2">
        <v>7</v>
      </c>
      <c r="L256" s="3">
        <v>213651.99</v>
      </c>
      <c r="M256" t="s">
        <v>142</v>
      </c>
      <c r="N256" t="s">
        <v>342</v>
      </c>
      <c r="O256" t="s">
        <v>1045</v>
      </c>
      <c r="P256" t="str">
        <f t="shared" si="9"/>
        <v>2025-04</v>
      </c>
      <c r="Q256">
        <f>IF(tblWO[[#This Row],[Status]]="Completed",1,
IF(tblWO[[#This Row],[Status]]="In Progress",2,
IF(tblWO[[#This Row],[Status]]="Planned",3,
IF(tblWO[[#This Row],[Status]]="Cancelled",4,99))))</f>
        <v>1</v>
      </c>
      <c r="R256">
        <f t="shared" si="10"/>
        <v>1</v>
      </c>
      <c r="S256" s="6" t="str">
        <f t="shared" si="11"/>
        <v>2025-04</v>
      </c>
    </row>
    <row r="257" spans="1:19">
      <c r="A257" t="s">
        <v>1065</v>
      </c>
      <c r="B257" t="s">
        <v>79</v>
      </c>
      <c r="C257" t="s">
        <v>80</v>
      </c>
      <c r="D257" t="s">
        <v>158</v>
      </c>
      <c r="E257" t="s">
        <v>45</v>
      </c>
      <c r="F257" t="s">
        <v>138</v>
      </c>
      <c r="G257" t="s">
        <v>1066</v>
      </c>
      <c r="H257" t="s">
        <v>1067</v>
      </c>
      <c r="I257" t="s">
        <v>1067</v>
      </c>
      <c r="J257" t="s">
        <v>1068</v>
      </c>
      <c r="K257" s="2">
        <v>3.7</v>
      </c>
      <c r="L257" s="3">
        <v>248743.88</v>
      </c>
      <c r="M257" t="s">
        <v>142</v>
      </c>
      <c r="N257" t="s">
        <v>143</v>
      </c>
      <c r="O257" t="s">
        <v>1045</v>
      </c>
      <c r="P257" t="str">
        <f t="shared" si="9"/>
        <v>2025-08</v>
      </c>
      <c r="Q257">
        <f>IF(tblWO[[#This Row],[Status]]="Completed",1,
IF(tblWO[[#This Row],[Status]]="In Progress",2,
IF(tblWO[[#This Row],[Status]]="Planned",3,
IF(tblWO[[#This Row],[Status]]="Cancelled",4,99))))</f>
        <v>1</v>
      </c>
      <c r="R257">
        <f t="shared" si="10"/>
        <v>1</v>
      </c>
      <c r="S257" s="6" t="str">
        <f t="shared" si="11"/>
        <v>2025-08</v>
      </c>
    </row>
    <row r="258" spans="1:19">
      <c r="A258" t="s">
        <v>1069</v>
      </c>
      <c r="B258" t="s">
        <v>79</v>
      </c>
      <c r="C258" t="s">
        <v>80</v>
      </c>
      <c r="D258" t="s">
        <v>158</v>
      </c>
      <c r="E258" t="s">
        <v>45</v>
      </c>
      <c r="F258" t="s">
        <v>147</v>
      </c>
      <c r="G258" t="s">
        <v>811</v>
      </c>
      <c r="H258" t="s">
        <v>812</v>
      </c>
      <c r="K258" s="2">
        <v>0</v>
      </c>
      <c r="L258" s="3">
        <v>0</v>
      </c>
      <c r="N258" t="s">
        <v>162</v>
      </c>
      <c r="O258" t="s">
        <v>1045</v>
      </c>
      <c r="P258" t="str">
        <f t="shared" ref="P258:P321" si="12">TEXT(G258,"yyyy-mm")</f>
        <v>2025-09</v>
      </c>
      <c r="Q258">
        <f>IF(tblWO[[#This Row],[Status]]="Completed",1,
IF(tblWO[[#This Row],[Status]]="In Progress",2,
IF(tblWO[[#This Row],[Status]]="Planned",3,
IF(tblWO[[#This Row],[Status]]="Cancelled",4,99))))</f>
        <v>2</v>
      </c>
      <c r="R258">
        <f t="shared" ref="R258:R321" si="13">IF(D258="Preventive",1,
IF(D258="Inspection",2,
IF(D258="Corrective",3,
IF(D258="Breakdown",4,
IF(D258="Overhaul",5,99)))))</f>
        <v>1</v>
      </c>
      <c r="S258" s="6" t="str">
        <f t="shared" ref="S258:S321" si="14">TEXT(G258,"yyyy-mm")</f>
        <v>2025-09</v>
      </c>
    </row>
    <row r="259" spans="1:19">
      <c r="A259" t="s">
        <v>1070</v>
      </c>
      <c r="B259" t="s">
        <v>79</v>
      </c>
      <c r="C259" t="s">
        <v>80</v>
      </c>
      <c r="D259" t="s">
        <v>146</v>
      </c>
      <c r="E259" t="s">
        <v>10</v>
      </c>
      <c r="F259" t="s">
        <v>138</v>
      </c>
      <c r="G259" t="s">
        <v>952</v>
      </c>
      <c r="H259" t="s">
        <v>953</v>
      </c>
      <c r="I259" t="s">
        <v>953</v>
      </c>
      <c r="J259" t="s">
        <v>1071</v>
      </c>
      <c r="K259" s="2">
        <v>16.600000000000001</v>
      </c>
      <c r="L259" s="3">
        <v>127187.18</v>
      </c>
      <c r="M259" t="s">
        <v>184</v>
      </c>
      <c r="N259" t="s">
        <v>143</v>
      </c>
      <c r="O259" t="s">
        <v>1058</v>
      </c>
      <c r="P259" t="str">
        <f t="shared" si="12"/>
        <v>2025-11</v>
      </c>
      <c r="Q259">
        <f>IF(tblWO[[#This Row],[Status]]="Completed",1,
IF(tblWO[[#This Row],[Status]]="In Progress",2,
IF(tblWO[[#This Row],[Status]]="Planned",3,
IF(tblWO[[#This Row],[Status]]="Cancelled",4,99))))</f>
        <v>1</v>
      </c>
      <c r="R259">
        <f t="shared" si="13"/>
        <v>3</v>
      </c>
      <c r="S259" s="6" t="str">
        <f t="shared" si="14"/>
        <v>2025-11</v>
      </c>
    </row>
    <row r="260" spans="1:19">
      <c r="A260" t="s">
        <v>1072</v>
      </c>
      <c r="B260" t="s">
        <v>79</v>
      </c>
      <c r="C260" t="s">
        <v>80</v>
      </c>
      <c r="D260" t="s">
        <v>158</v>
      </c>
      <c r="E260" t="s">
        <v>45</v>
      </c>
      <c r="F260" t="s">
        <v>138</v>
      </c>
      <c r="G260" t="s">
        <v>322</v>
      </c>
      <c r="H260" t="s">
        <v>323</v>
      </c>
      <c r="I260" t="s">
        <v>323</v>
      </c>
      <c r="J260" t="s">
        <v>1073</v>
      </c>
      <c r="K260" s="2">
        <v>11.3</v>
      </c>
      <c r="L260" s="3">
        <v>278187.86</v>
      </c>
      <c r="M260" t="s">
        <v>142</v>
      </c>
      <c r="N260" t="s">
        <v>156</v>
      </c>
      <c r="O260" t="s">
        <v>1045</v>
      </c>
      <c r="P260" t="str">
        <f t="shared" si="12"/>
        <v>2025-09</v>
      </c>
      <c r="Q260">
        <f>IF(tblWO[[#This Row],[Status]]="Completed",1,
IF(tblWO[[#This Row],[Status]]="In Progress",2,
IF(tblWO[[#This Row],[Status]]="Planned",3,
IF(tblWO[[#This Row],[Status]]="Cancelled",4,99))))</f>
        <v>1</v>
      </c>
      <c r="R260">
        <f t="shared" si="13"/>
        <v>1</v>
      </c>
      <c r="S260" s="6" t="str">
        <f t="shared" si="14"/>
        <v>2025-09</v>
      </c>
    </row>
    <row r="261" spans="1:19">
      <c r="A261" t="s">
        <v>1074</v>
      </c>
      <c r="B261" t="s">
        <v>79</v>
      </c>
      <c r="C261" t="s">
        <v>80</v>
      </c>
      <c r="D261" t="s">
        <v>158</v>
      </c>
      <c r="E261" t="s">
        <v>45</v>
      </c>
      <c r="F261" t="s">
        <v>138</v>
      </c>
      <c r="G261" t="s">
        <v>1075</v>
      </c>
      <c r="H261" t="s">
        <v>1076</v>
      </c>
      <c r="I261" t="s">
        <v>1076</v>
      </c>
      <c r="J261" t="s">
        <v>1077</v>
      </c>
      <c r="K261" s="2">
        <v>4.7</v>
      </c>
      <c r="L261" s="3">
        <v>294369.84000000003</v>
      </c>
      <c r="M261" t="s">
        <v>142</v>
      </c>
      <c r="N261" t="s">
        <v>162</v>
      </c>
      <c r="O261" t="s">
        <v>1045</v>
      </c>
      <c r="P261" t="str">
        <f t="shared" si="12"/>
        <v>2025-09</v>
      </c>
      <c r="Q261">
        <f>IF(tblWO[[#This Row],[Status]]="Completed",1,
IF(tblWO[[#This Row],[Status]]="In Progress",2,
IF(tblWO[[#This Row],[Status]]="Planned",3,
IF(tblWO[[#This Row],[Status]]="Cancelled",4,99))))</f>
        <v>1</v>
      </c>
      <c r="R261">
        <f t="shared" si="13"/>
        <v>1</v>
      </c>
      <c r="S261" s="6" t="str">
        <f t="shared" si="14"/>
        <v>2025-09</v>
      </c>
    </row>
    <row r="262" spans="1:19">
      <c r="A262" t="s">
        <v>1078</v>
      </c>
      <c r="B262" t="s">
        <v>79</v>
      </c>
      <c r="C262" t="s">
        <v>80</v>
      </c>
      <c r="D262" t="s">
        <v>146</v>
      </c>
      <c r="E262" t="s">
        <v>37</v>
      </c>
      <c r="F262" t="s">
        <v>202</v>
      </c>
      <c r="G262" t="s">
        <v>523</v>
      </c>
      <c r="H262" t="s">
        <v>524</v>
      </c>
      <c r="K262" s="2">
        <v>0</v>
      </c>
      <c r="L262" s="3">
        <v>0</v>
      </c>
      <c r="N262" t="s">
        <v>185</v>
      </c>
      <c r="O262" t="s">
        <v>1058</v>
      </c>
      <c r="P262" t="str">
        <f t="shared" si="12"/>
        <v>2025-12</v>
      </c>
      <c r="Q262">
        <f>IF(tblWO[[#This Row],[Status]]="Completed",1,
IF(tblWO[[#This Row],[Status]]="In Progress",2,
IF(tblWO[[#This Row],[Status]]="Planned",3,
IF(tblWO[[#This Row],[Status]]="Cancelled",4,99))))</f>
        <v>3</v>
      </c>
      <c r="R262">
        <f t="shared" si="13"/>
        <v>3</v>
      </c>
      <c r="S262" s="6" t="str">
        <f t="shared" si="14"/>
        <v>2025-12</v>
      </c>
    </row>
    <row r="263" spans="1:19">
      <c r="A263" t="s">
        <v>1079</v>
      </c>
      <c r="B263" t="s">
        <v>79</v>
      </c>
      <c r="C263" t="s">
        <v>80</v>
      </c>
      <c r="D263" t="s">
        <v>146</v>
      </c>
      <c r="E263" t="s">
        <v>37</v>
      </c>
      <c r="F263" t="s">
        <v>138</v>
      </c>
      <c r="G263" t="s">
        <v>413</v>
      </c>
      <c r="H263" t="s">
        <v>414</v>
      </c>
      <c r="I263" t="s">
        <v>414</v>
      </c>
      <c r="J263" t="s">
        <v>1080</v>
      </c>
      <c r="K263" s="2">
        <v>19.899999999999999</v>
      </c>
      <c r="L263" s="3">
        <v>131607.70000000001</v>
      </c>
      <c r="M263" t="s">
        <v>308</v>
      </c>
      <c r="N263" t="s">
        <v>174</v>
      </c>
      <c r="O263" t="s">
        <v>1058</v>
      </c>
      <c r="P263" t="str">
        <f t="shared" si="12"/>
        <v>2025-03</v>
      </c>
      <c r="Q263">
        <f>IF(tblWO[[#This Row],[Status]]="Completed",1,
IF(tblWO[[#This Row],[Status]]="In Progress",2,
IF(tblWO[[#This Row],[Status]]="Planned",3,
IF(tblWO[[#This Row],[Status]]="Cancelled",4,99))))</f>
        <v>1</v>
      </c>
      <c r="R263">
        <f t="shared" si="13"/>
        <v>3</v>
      </c>
      <c r="S263" s="6" t="str">
        <f t="shared" si="14"/>
        <v>2025-03</v>
      </c>
    </row>
    <row r="264" spans="1:19">
      <c r="A264" t="s">
        <v>1081</v>
      </c>
      <c r="B264" t="s">
        <v>79</v>
      </c>
      <c r="C264" t="s">
        <v>80</v>
      </c>
      <c r="D264" t="s">
        <v>158</v>
      </c>
      <c r="E264" t="s">
        <v>45</v>
      </c>
      <c r="F264" t="s">
        <v>138</v>
      </c>
      <c r="G264" t="s">
        <v>1082</v>
      </c>
      <c r="H264" t="s">
        <v>1083</v>
      </c>
      <c r="I264" t="s">
        <v>1083</v>
      </c>
      <c r="J264" t="s">
        <v>1084</v>
      </c>
      <c r="K264" s="2">
        <v>10.5</v>
      </c>
      <c r="L264" s="3">
        <v>213433.93</v>
      </c>
      <c r="M264" t="s">
        <v>142</v>
      </c>
      <c r="N264" t="s">
        <v>162</v>
      </c>
      <c r="O264" t="s">
        <v>1045</v>
      </c>
      <c r="P264" t="str">
        <f t="shared" si="12"/>
        <v>2025-04</v>
      </c>
      <c r="Q264">
        <f>IF(tblWO[[#This Row],[Status]]="Completed",1,
IF(tblWO[[#This Row],[Status]]="In Progress",2,
IF(tblWO[[#This Row],[Status]]="Planned",3,
IF(tblWO[[#This Row],[Status]]="Cancelled",4,99))))</f>
        <v>1</v>
      </c>
      <c r="R264">
        <f t="shared" si="13"/>
        <v>1</v>
      </c>
      <c r="S264" s="6" t="str">
        <f t="shared" si="14"/>
        <v>2025-04</v>
      </c>
    </row>
    <row r="265" spans="1:19">
      <c r="A265" t="s">
        <v>1085</v>
      </c>
      <c r="B265" t="s">
        <v>82</v>
      </c>
      <c r="C265" t="s">
        <v>83</v>
      </c>
      <c r="D265" t="s">
        <v>158</v>
      </c>
      <c r="E265" t="s">
        <v>10</v>
      </c>
      <c r="F265" t="s">
        <v>138</v>
      </c>
      <c r="G265" t="s">
        <v>1047</v>
      </c>
      <c r="H265" t="s">
        <v>1048</v>
      </c>
      <c r="I265" t="s">
        <v>1048</v>
      </c>
      <c r="J265" t="s">
        <v>1086</v>
      </c>
      <c r="K265" s="2">
        <v>3.7</v>
      </c>
      <c r="L265" s="3">
        <v>174964.6</v>
      </c>
      <c r="M265" t="s">
        <v>142</v>
      </c>
      <c r="N265" t="s">
        <v>174</v>
      </c>
      <c r="O265" t="s">
        <v>1087</v>
      </c>
      <c r="P265" t="str">
        <f t="shared" si="12"/>
        <v>2025-07</v>
      </c>
      <c r="Q265">
        <f>IF(tblWO[[#This Row],[Status]]="Completed",1,
IF(tblWO[[#This Row],[Status]]="In Progress",2,
IF(tblWO[[#This Row],[Status]]="Planned",3,
IF(tblWO[[#This Row],[Status]]="Cancelled",4,99))))</f>
        <v>1</v>
      </c>
      <c r="R265">
        <f t="shared" si="13"/>
        <v>1</v>
      </c>
      <c r="S265" s="6" t="str">
        <f t="shared" si="14"/>
        <v>2025-07</v>
      </c>
    </row>
    <row r="266" spans="1:19">
      <c r="A266" t="s">
        <v>1088</v>
      </c>
      <c r="B266" t="s">
        <v>82</v>
      </c>
      <c r="C266" t="s">
        <v>83</v>
      </c>
      <c r="D266" t="s">
        <v>146</v>
      </c>
      <c r="E266" t="s">
        <v>32</v>
      </c>
      <c r="F266" t="s">
        <v>202</v>
      </c>
      <c r="G266" t="s">
        <v>553</v>
      </c>
      <c r="H266" t="s">
        <v>554</v>
      </c>
      <c r="K266" s="2">
        <v>0</v>
      </c>
      <c r="L266" s="3">
        <v>0</v>
      </c>
      <c r="N266" t="s">
        <v>162</v>
      </c>
      <c r="O266" t="s">
        <v>1089</v>
      </c>
      <c r="P266" t="str">
        <f t="shared" si="12"/>
        <v>2025-10</v>
      </c>
      <c r="Q266">
        <f>IF(tblWO[[#This Row],[Status]]="Completed",1,
IF(tblWO[[#This Row],[Status]]="In Progress",2,
IF(tblWO[[#This Row],[Status]]="Planned",3,
IF(tblWO[[#This Row],[Status]]="Cancelled",4,99))))</f>
        <v>3</v>
      </c>
      <c r="R266">
        <f t="shared" si="13"/>
        <v>3</v>
      </c>
      <c r="S266" s="6" t="str">
        <f t="shared" si="14"/>
        <v>2025-10</v>
      </c>
    </row>
    <row r="267" spans="1:19">
      <c r="A267" t="s">
        <v>1090</v>
      </c>
      <c r="B267" t="s">
        <v>82</v>
      </c>
      <c r="C267" t="s">
        <v>83</v>
      </c>
      <c r="D267" t="s">
        <v>158</v>
      </c>
      <c r="E267" t="s">
        <v>10</v>
      </c>
      <c r="F267" t="s">
        <v>138</v>
      </c>
      <c r="G267" t="s">
        <v>1091</v>
      </c>
      <c r="H267" t="s">
        <v>1092</v>
      </c>
      <c r="I267" t="s">
        <v>1092</v>
      </c>
      <c r="J267" t="s">
        <v>1093</v>
      </c>
      <c r="K267" s="2">
        <v>2.7</v>
      </c>
      <c r="L267" s="3">
        <v>281396.2</v>
      </c>
      <c r="M267" t="s">
        <v>142</v>
      </c>
      <c r="N267" t="s">
        <v>162</v>
      </c>
      <c r="O267" t="s">
        <v>1087</v>
      </c>
      <c r="P267" t="str">
        <f t="shared" si="12"/>
        <v>2025-12</v>
      </c>
      <c r="Q267">
        <f>IF(tblWO[[#This Row],[Status]]="Completed",1,
IF(tblWO[[#This Row],[Status]]="In Progress",2,
IF(tblWO[[#This Row],[Status]]="Planned",3,
IF(tblWO[[#This Row],[Status]]="Cancelled",4,99))))</f>
        <v>1</v>
      </c>
      <c r="R267">
        <f t="shared" si="13"/>
        <v>1</v>
      </c>
      <c r="S267" s="6" t="str">
        <f t="shared" si="14"/>
        <v>2025-12</v>
      </c>
    </row>
    <row r="268" spans="1:19">
      <c r="A268" t="s">
        <v>1094</v>
      </c>
      <c r="B268" t="s">
        <v>82</v>
      </c>
      <c r="C268" t="s">
        <v>83</v>
      </c>
      <c r="D268" t="s">
        <v>158</v>
      </c>
      <c r="E268" t="s">
        <v>10</v>
      </c>
      <c r="F268" t="s">
        <v>138</v>
      </c>
      <c r="G268" t="s">
        <v>1095</v>
      </c>
      <c r="H268" t="s">
        <v>1096</v>
      </c>
      <c r="I268" t="s">
        <v>1096</v>
      </c>
      <c r="J268" t="s">
        <v>1097</v>
      </c>
      <c r="K268" s="2">
        <v>10.199999999999999</v>
      </c>
      <c r="L268" s="3">
        <v>255225.60000000001</v>
      </c>
      <c r="M268" t="s">
        <v>142</v>
      </c>
      <c r="N268" t="s">
        <v>185</v>
      </c>
      <c r="O268" t="s">
        <v>1087</v>
      </c>
      <c r="P268" t="str">
        <f t="shared" si="12"/>
        <v>2025-06</v>
      </c>
      <c r="Q268">
        <f>IF(tblWO[[#This Row],[Status]]="Completed",1,
IF(tblWO[[#This Row],[Status]]="In Progress",2,
IF(tblWO[[#This Row],[Status]]="Planned",3,
IF(tblWO[[#This Row],[Status]]="Cancelled",4,99))))</f>
        <v>1</v>
      </c>
      <c r="R268">
        <f t="shared" si="13"/>
        <v>1</v>
      </c>
      <c r="S268" s="6" t="str">
        <f t="shared" si="14"/>
        <v>2025-06</v>
      </c>
    </row>
    <row r="269" spans="1:19">
      <c r="A269" t="s">
        <v>1098</v>
      </c>
      <c r="B269" t="s">
        <v>82</v>
      </c>
      <c r="C269" t="s">
        <v>83</v>
      </c>
      <c r="D269" t="s">
        <v>158</v>
      </c>
      <c r="E269" t="s">
        <v>37</v>
      </c>
      <c r="F269" t="s">
        <v>138</v>
      </c>
      <c r="G269" t="s">
        <v>433</v>
      </c>
      <c r="H269" t="s">
        <v>434</v>
      </c>
      <c r="I269" t="s">
        <v>434</v>
      </c>
      <c r="J269" t="s">
        <v>1099</v>
      </c>
      <c r="K269" s="2">
        <v>11</v>
      </c>
      <c r="L269" s="3">
        <v>132932.46</v>
      </c>
      <c r="M269" t="s">
        <v>142</v>
      </c>
      <c r="N269" t="s">
        <v>143</v>
      </c>
      <c r="O269" t="s">
        <v>1087</v>
      </c>
      <c r="P269" t="str">
        <f t="shared" si="12"/>
        <v>2025-10</v>
      </c>
      <c r="Q269">
        <f>IF(tblWO[[#This Row],[Status]]="Completed",1,
IF(tblWO[[#This Row],[Status]]="In Progress",2,
IF(tblWO[[#This Row],[Status]]="Planned",3,
IF(tblWO[[#This Row],[Status]]="Cancelled",4,99))))</f>
        <v>1</v>
      </c>
      <c r="R269">
        <f t="shared" si="13"/>
        <v>1</v>
      </c>
      <c r="S269" s="6" t="str">
        <f t="shared" si="14"/>
        <v>2025-10</v>
      </c>
    </row>
    <row r="270" spans="1:19">
      <c r="A270" t="s">
        <v>1100</v>
      </c>
      <c r="B270" t="s">
        <v>82</v>
      </c>
      <c r="C270" t="s">
        <v>83</v>
      </c>
      <c r="D270" t="s">
        <v>169</v>
      </c>
      <c r="E270" t="s">
        <v>10</v>
      </c>
      <c r="F270" t="s">
        <v>138</v>
      </c>
      <c r="G270" t="s">
        <v>1101</v>
      </c>
      <c r="H270" t="s">
        <v>1102</v>
      </c>
      <c r="I270" t="s">
        <v>1102</v>
      </c>
      <c r="J270" t="s">
        <v>1103</v>
      </c>
      <c r="K270" s="2">
        <v>17.3</v>
      </c>
      <c r="L270" s="3">
        <v>245610.95</v>
      </c>
      <c r="M270" t="s">
        <v>184</v>
      </c>
      <c r="N270" t="s">
        <v>174</v>
      </c>
      <c r="O270" t="s">
        <v>1104</v>
      </c>
      <c r="P270" t="str">
        <f t="shared" si="12"/>
        <v>2025-09</v>
      </c>
      <c r="Q270">
        <f>IF(tblWO[[#This Row],[Status]]="Completed",1,
IF(tblWO[[#This Row],[Status]]="In Progress",2,
IF(tblWO[[#This Row],[Status]]="Planned",3,
IF(tblWO[[#This Row],[Status]]="Cancelled",4,99))))</f>
        <v>1</v>
      </c>
      <c r="R270">
        <f t="shared" si="13"/>
        <v>4</v>
      </c>
      <c r="S270" s="6" t="str">
        <f t="shared" si="14"/>
        <v>2025-09</v>
      </c>
    </row>
    <row r="271" spans="1:19">
      <c r="A271" t="s">
        <v>1105</v>
      </c>
      <c r="B271" t="s">
        <v>82</v>
      </c>
      <c r="C271" t="s">
        <v>83</v>
      </c>
      <c r="D271" t="s">
        <v>463</v>
      </c>
      <c r="E271" t="s">
        <v>32</v>
      </c>
      <c r="F271" t="s">
        <v>138</v>
      </c>
      <c r="G271" t="s">
        <v>673</v>
      </c>
      <c r="H271" t="s">
        <v>674</v>
      </c>
      <c r="I271" t="s">
        <v>674</v>
      </c>
      <c r="J271" t="s">
        <v>1106</v>
      </c>
      <c r="K271" s="2">
        <v>71.099999999999994</v>
      </c>
      <c r="L271" s="3">
        <v>855811.2</v>
      </c>
      <c r="M271" t="s">
        <v>390</v>
      </c>
      <c r="N271" t="s">
        <v>174</v>
      </c>
      <c r="O271" t="s">
        <v>1107</v>
      </c>
      <c r="P271" t="str">
        <f t="shared" si="12"/>
        <v>2025-06</v>
      </c>
      <c r="Q271">
        <f>IF(tblWO[[#This Row],[Status]]="Completed",1,
IF(tblWO[[#This Row],[Status]]="In Progress",2,
IF(tblWO[[#This Row],[Status]]="Planned",3,
IF(tblWO[[#This Row],[Status]]="Cancelled",4,99))))</f>
        <v>1</v>
      </c>
      <c r="R271">
        <f t="shared" si="13"/>
        <v>5</v>
      </c>
      <c r="S271" s="6" t="str">
        <f t="shared" si="14"/>
        <v>2025-06</v>
      </c>
    </row>
    <row r="272" spans="1:19">
      <c r="A272" t="s">
        <v>1108</v>
      </c>
      <c r="B272" t="s">
        <v>82</v>
      </c>
      <c r="C272" t="s">
        <v>83</v>
      </c>
      <c r="D272" t="s">
        <v>158</v>
      </c>
      <c r="E272" t="s">
        <v>45</v>
      </c>
      <c r="F272" t="s">
        <v>138</v>
      </c>
      <c r="G272" t="s">
        <v>858</v>
      </c>
      <c r="H272" t="s">
        <v>859</v>
      </c>
      <c r="I272" t="s">
        <v>859</v>
      </c>
      <c r="J272" t="s">
        <v>1109</v>
      </c>
      <c r="K272" s="2">
        <v>5</v>
      </c>
      <c r="L272" s="3">
        <v>111612.45</v>
      </c>
      <c r="M272" t="s">
        <v>142</v>
      </c>
      <c r="N272" t="s">
        <v>185</v>
      </c>
      <c r="O272" t="s">
        <v>1087</v>
      </c>
      <c r="P272" t="str">
        <f t="shared" si="12"/>
        <v>2025-12</v>
      </c>
      <c r="Q272">
        <f>IF(tblWO[[#This Row],[Status]]="Completed",1,
IF(tblWO[[#This Row],[Status]]="In Progress",2,
IF(tblWO[[#This Row],[Status]]="Planned",3,
IF(tblWO[[#This Row],[Status]]="Cancelled",4,99))))</f>
        <v>1</v>
      </c>
      <c r="R272">
        <f t="shared" si="13"/>
        <v>1</v>
      </c>
      <c r="S272" s="6" t="str">
        <f t="shared" si="14"/>
        <v>2025-12</v>
      </c>
    </row>
    <row r="273" spans="1:19">
      <c r="A273" t="s">
        <v>1110</v>
      </c>
      <c r="B273" t="s">
        <v>82</v>
      </c>
      <c r="C273" t="s">
        <v>83</v>
      </c>
      <c r="D273" t="s">
        <v>158</v>
      </c>
      <c r="E273" t="s">
        <v>37</v>
      </c>
      <c r="F273" t="s">
        <v>138</v>
      </c>
      <c r="G273" t="s">
        <v>335</v>
      </c>
      <c r="H273" t="s">
        <v>336</v>
      </c>
      <c r="I273" t="s">
        <v>336</v>
      </c>
      <c r="J273" t="s">
        <v>1111</v>
      </c>
      <c r="K273" s="2">
        <v>5.9</v>
      </c>
      <c r="L273" s="3">
        <v>140175.06</v>
      </c>
      <c r="M273" t="s">
        <v>142</v>
      </c>
      <c r="N273" t="s">
        <v>185</v>
      </c>
      <c r="O273" t="s">
        <v>1087</v>
      </c>
      <c r="P273" t="str">
        <f t="shared" si="12"/>
        <v>2025-03</v>
      </c>
      <c r="Q273">
        <f>IF(tblWO[[#This Row],[Status]]="Completed",1,
IF(tblWO[[#This Row],[Status]]="In Progress",2,
IF(tblWO[[#This Row],[Status]]="Planned",3,
IF(tblWO[[#This Row],[Status]]="Cancelled",4,99))))</f>
        <v>1</v>
      </c>
      <c r="R273">
        <f t="shared" si="13"/>
        <v>1</v>
      </c>
      <c r="S273" s="6" t="str">
        <f t="shared" si="14"/>
        <v>2025-03</v>
      </c>
    </row>
    <row r="274" spans="1:19">
      <c r="A274" t="s">
        <v>1112</v>
      </c>
      <c r="B274" t="s">
        <v>82</v>
      </c>
      <c r="C274" t="s">
        <v>83</v>
      </c>
      <c r="D274" t="s">
        <v>158</v>
      </c>
      <c r="E274" t="s">
        <v>10</v>
      </c>
      <c r="F274" t="s">
        <v>138</v>
      </c>
      <c r="G274" t="s">
        <v>1113</v>
      </c>
      <c r="H274" t="s">
        <v>1114</v>
      </c>
      <c r="I274" t="s">
        <v>1114</v>
      </c>
      <c r="J274" t="s">
        <v>1115</v>
      </c>
      <c r="K274" s="2">
        <v>2.9</v>
      </c>
      <c r="L274" s="3">
        <v>157744.88</v>
      </c>
      <c r="M274" t="s">
        <v>142</v>
      </c>
      <c r="N274" t="s">
        <v>174</v>
      </c>
      <c r="O274" t="s">
        <v>1087</v>
      </c>
      <c r="P274" t="str">
        <f t="shared" si="12"/>
        <v>2025-05</v>
      </c>
      <c r="Q274">
        <f>IF(tblWO[[#This Row],[Status]]="Completed",1,
IF(tblWO[[#This Row],[Status]]="In Progress",2,
IF(tblWO[[#This Row],[Status]]="Planned",3,
IF(tblWO[[#This Row],[Status]]="Cancelled",4,99))))</f>
        <v>1</v>
      </c>
      <c r="R274">
        <f t="shared" si="13"/>
        <v>1</v>
      </c>
      <c r="S274" s="6" t="str">
        <f t="shared" si="14"/>
        <v>2025-05</v>
      </c>
    </row>
    <row r="275" spans="1:19">
      <c r="A275" t="s">
        <v>1116</v>
      </c>
      <c r="B275" t="s">
        <v>82</v>
      </c>
      <c r="C275" t="s">
        <v>83</v>
      </c>
      <c r="D275" t="s">
        <v>158</v>
      </c>
      <c r="E275" t="s">
        <v>45</v>
      </c>
      <c r="F275" t="s">
        <v>138</v>
      </c>
      <c r="G275" t="s">
        <v>1117</v>
      </c>
      <c r="H275" t="s">
        <v>1118</v>
      </c>
      <c r="I275" t="s">
        <v>1118</v>
      </c>
      <c r="J275" t="s">
        <v>1119</v>
      </c>
      <c r="K275" s="2">
        <v>5.2</v>
      </c>
      <c r="L275" s="3">
        <v>146309.48000000001</v>
      </c>
      <c r="M275" t="s">
        <v>142</v>
      </c>
      <c r="N275" t="s">
        <v>239</v>
      </c>
      <c r="O275" t="s">
        <v>1087</v>
      </c>
      <c r="P275" t="str">
        <f t="shared" si="12"/>
        <v>2025-02</v>
      </c>
      <c r="Q275">
        <f>IF(tblWO[[#This Row],[Status]]="Completed",1,
IF(tblWO[[#This Row],[Status]]="In Progress",2,
IF(tblWO[[#This Row],[Status]]="Planned",3,
IF(tblWO[[#This Row],[Status]]="Cancelled",4,99))))</f>
        <v>1</v>
      </c>
      <c r="R275">
        <f t="shared" si="13"/>
        <v>1</v>
      </c>
      <c r="S275" s="6" t="str">
        <f t="shared" si="14"/>
        <v>2025-02</v>
      </c>
    </row>
    <row r="276" spans="1:19">
      <c r="A276" t="s">
        <v>1120</v>
      </c>
      <c r="B276" t="s">
        <v>85</v>
      </c>
      <c r="C276" t="s">
        <v>86</v>
      </c>
      <c r="D276" t="s">
        <v>158</v>
      </c>
      <c r="E276" t="s">
        <v>32</v>
      </c>
      <c r="F276" t="s">
        <v>138</v>
      </c>
      <c r="G276" t="s">
        <v>398</v>
      </c>
      <c r="H276" t="s">
        <v>399</v>
      </c>
      <c r="I276" t="s">
        <v>399</v>
      </c>
      <c r="J276" t="s">
        <v>1121</v>
      </c>
      <c r="K276" s="2">
        <v>4.4000000000000004</v>
      </c>
      <c r="L276" s="3">
        <v>180276.13</v>
      </c>
      <c r="M276" t="s">
        <v>142</v>
      </c>
      <c r="N276" t="s">
        <v>174</v>
      </c>
      <c r="O276" t="s">
        <v>1122</v>
      </c>
      <c r="P276" t="str">
        <f t="shared" si="12"/>
        <v>2025-02</v>
      </c>
      <c r="Q276">
        <f>IF(tblWO[[#This Row],[Status]]="Completed",1,
IF(tblWO[[#This Row],[Status]]="In Progress",2,
IF(tblWO[[#This Row],[Status]]="Planned",3,
IF(tblWO[[#This Row],[Status]]="Cancelled",4,99))))</f>
        <v>1</v>
      </c>
      <c r="R276">
        <f t="shared" si="13"/>
        <v>1</v>
      </c>
      <c r="S276" s="6" t="str">
        <f t="shared" si="14"/>
        <v>2025-02</v>
      </c>
    </row>
    <row r="277" spans="1:19">
      <c r="A277" t="s">
        <v>1123</v>
      </c>
      <c r="B277" t="s">
        <v>85</v>
      </c>
      <c r="C277" t="s">
        <v>86</v>
      </c>
      <c r="D277" t="s">
        <v>158</v>
      </c>
      <c r="E277" t="s">
        <v>10</v>
      </c>
      <c r="F277" t="s">
        <v>138</v>
      </c>
      <c r="G277" t="s">
        <v>1124</v>
      </c>
      <c r="H277" t="s">
        <v>1125</v>
      </c>
      <c r="I277" t="s">
        <v>1125</v>
      </c>
      <c r="J277" t="s">
        <v>1126</v>
      </c>
      <c r="K277" s="2">
        <v>6.3</v>
      </c>
      <c r="L277" s="3">
        <v>155275.57999999999</v>
      </c>
      <c r="M277" t="s">
        <v>142</v>
      </c>
      <c r="N277" t="s">
        <v>156</v>
      </c>
      <c r="O277" t="s">
        <v>1122</v>
      </c>
      <c r="P277" t="str">
        <f t="shared" si="12"/>
        <v>2025-05</v>
      </c>
      <c r="Q277">
        <f>IF(tblWO[[#This Row],[Status]]="Completed",1,
IF(tblWO[[#This Row],[Status]]="In Progress",2,
IF(tblWO[[#This Row],[Status]]="Planned",3,
IF(tblWO[[#This Row],[Status]]="Cancelled",4,99))))</f>
        <v>1</v>
      </c>
      <c r="R277">
        <f t="shared" si="13"/>
        <v>1</v>
      </c>
      <c r="S277" s="6" t="str">
        <f t="shared" si="14"/>
        <v>2025-05</v>
      </c>
    </row>
    <row r="278" spans="1:19">
      <c r="A278" t="s">
        <v>1127</v>
      </c>
      <c r="B278" t="s">
        <v>85</v>
      </c>
      <c r="C278" t="s">
        <v>86</v>
      </c>
      <c r="D278" t="s">
        <v>169</v>
      </c>
      <c r="E278" t="s">
        <v>45</v>
      </c>
      <c r="F278" t="s">
        <v>138</v>
      </c>
      <c r="G278" t="s">
        <v>1128</v>
      </c>
      <c r="H278" t="s">
        <v>1129</v>
      </c>
      <c r="I278" t="s">
        <v>1129</v>
      </c>
      <c r="J278" t="s">
        <v>1130</v>
      </c>
      <c r="K278" s="2">
        <v>32.700000000000003</v>
      </c>
      <c r="L278" s="3">
        <v>474716.98</v>
      </c>
      <c r="M278" t="s">
        <v>249</v>
      </c>
      <c r="N278" t="s">
        <v>143</v>
      </c>
      <c r="O278" t="s">
        <v>1131</v>
      </c>
      <c r="P278" t="str">
        <f t="shared" si="12"/>
        <v>2025-04</v>
      </c>
      <c r="Q278">
        <f>IF(tblWO[[#This Row],[Status]]="Completed",1,
IF(tblWO[[#This Row],[Status]]="In Progress",2,
IF(tblWO[[#This Row],[Status]]="Planned",3,
IF(tblWO[[#This Row],[Status]]="Cancelled",4,99))))</f>
        <v>1</v>
      </c>
      <c r="R278">
        <f t="shared" si="13"/>
        <v>4</v>
      </c>
      <c r="S278" s="6" t="str">
        <f t="shared" si="14"/>
        <v>2025-04</v>
      </c>
    </row>
    <row r="279" spans="1:19">
      <c r="A279" t="s">
        <v>1132</v>
      </c>
      <c r="B279" t="s">
        <v>85</v>
      </c>
      <c r="C279" t="s">
        <v>86</v>
      </c>
      <c r="D279" t="s">
        <v>158</v>
      </c>
      <c r="E279" t="s">
        <v>32</v>
      </c>
      <c r="F279" t="s">
        <v>138</v>
      </c>
      <c r="G279" t="s">
        <v>575</v>
      </c>
      <c r="H279" t="s">
        <v>576</v>
      </c>
      <c r="I279" t="s">
        <v>576</v>
      </c>
      <c r="J279" t="s">
        <v>1133</v>
      </c>
      <c r="K279" s="2">
        <v>5.3</v>
      </c>
      <c r="L279" s="3">
        <v>133684.06</v>
      </c>
      <c r="M279" t="s">
        <v>142</v>
      </c>
      <c r="N279" t="s">
        <v>143</v>
      </c>
      <c r="O279" t="s">
        <v>1122</v>
      </c>
      <c r="P279" t="str">
        <f t="shared" si="12"/>
        <v>2025-07</v>
      </c>
      <c r="Q279">
        <f>IF(tblWO[[#This Row],[Status]]="Completed",1,
IF(tblWO[[#This Row],[Status]]="In Progress",2,
IF(tblWO[[#This Row],[Status]]="Planned",3,
IF(tblWO[[#This Row],[Status]]="Cancelled",4,99))))</f>
        <v>1</v>
      </c>
      <c r="R279">
        <f t="shared" si="13"/>
        <v>1</v>
      </c>
      <c r="S279" s="6" t="str">
        <f t="shared" si="14"/>
        <v>2025-07</v>
      </c>
    </row>
    <row r="280" spans="1:19">
      <c r="A280" t="s">
        <v>1134</v>
      </c>
      <c r="B280" t="s">
        <v>85</v>
      </c>
      <c r="C280" t="s">
        <v>86</v>
      </c>
      <c r="D280" t="s">
        <v>158</v>
      </c>
      <c r="E280" t="s">
        <v>37</v>
      </c>
      <c r="F280" t="s">
        <v>138</v>
      </c>
      <c r="G280" t="s">
        <v>904</v>
      </c>
      <c r="H280" t="s">
        <v>905</v>
      </c>
      <c r="I280" t="s">
        <v>905</v>
      </c>
      <c r="J280" t="s">
        <v>1135</v>
      </c>
      <c r="K280" s="2">
        <v>11.6</v>
      </c>
      <c r="L280" s="3">
        <v>292181.31</v>
      </c>
      <c r="M280" t="s">
        <v>142</v>
      </c>
      <c r="N280" t="s">
        <v>239</v>
      </c>
      <c r="O280" t="s">
        <v>1122</v>
      </c>
      <c r="P280" t="str">
        <f t="shared" si="12"/>
        <v>2025-10</v>
      </c>
      <c r="Q280">
        <f>IF(tblWO[[#This Row],[Status]]="Completed",1,
IF(tblWO[[#This Row],[Status]]="In Progress",2,
IF(tblWO[[#This Row],[Status]]="Planned",3,
IF(tblWO[[#This Row],[Status]]="Cancelled",4,99))))</f>
        <v>1</v>
      </c>
      <c r="R280">
        <f t="shared" si="13"/>
        <v>1</v>
      </c>
      <c r="S280" s="6" t="str">
        <f t="shared" si="14"/>
        <v>2025-10</v>
      </c>
    </row>
    <row r="281" spans="1:19">
      <c r="A281" t="s">
        <v>1136</v>
      </c>
      <c r="B281" t="s">
        <v>85</v>
      </c>
      <c r="C281" t="s">
        <v>86</v>
      </c>
      <c r="D281" t="s">
        <v>169</v>
      </c>
      <c r="E281" t="s">
        <v>37</v>
      </c>
      <c r="F281" t="s">
        <v>138</v>
      </c>
      <c r="G281" t="s">
        <v>1137</v>
      </c>
      <c r="H281" t="s">
        <v>1138</v>
      </c>
      <c r="I281" t="s">
        <v>1138</v>
      </c>
      <c r="J281" t="s">
        <v>1139</v>
      </c>
      <c r="K281" s="2">
        <v>19.2</v>
      </c>
      <c r="L281" s="3">
        <v>671519.92</v>
      </c>
      <c r="M281" t="s">
        <v>563</v>
      </c>
      <c r="N281" t="s">
        <v>342</v>
      </c>
      <c r="O281" t="s">
        <v>1131</v>
      </c>
      <c r="P281" t="str">
        <f t="shared" si="12"/>
        <v>2025-08</v>
      </c>
      <c r="Q281">
        <f>IF(tblWO[[#This Row],[Status]]="Completed",1,
IF(tblWO[[#This Row],[Status]]="In Progress",2,
IF(tblWO[[#This Row],[Status]]="Planned",3,
IF(tblWO[[#This Row],[Status]]="Cancelled",4,99))))</f>
        <v>1</v>
      </c>
      <c r="R281">
        <f t="shared" si="13"/>
        <v>4</v>
      </c>
      <c r="S281" s="6" t="str">
        <f t="shared" si="14"/>
        <v>2025-08</v>
      </c>
    </row>
    <row r="282" spans="1:19">
      <c r="A282" t="s">
        <v>1140</v>
      </c>
      <c r="B282" t="s">
        <v>85</v>
      </c>
      <c r="C282" t="s">
        <v>86</v>
      </c>
      <c r="D282" t="s">
        <v>158</v>
      </c>
      <c r="E282" t="s">
        <v>37</v>
      </c>
      <c r="F282" t="s">
        <v>271</v>
      </c>
      <c r="G282" t="s">
        <v>433</v>
      </c>
      <c r="H282" t="s">
        <v>434</v>
      </c>
      <c r="K282" s="2">
        <v>0</v>
      </c>
      <c r="L282" s="3">
        <v>0</v>
      </c>
      <c r="N282" t="s">
        <v>162</v>
      </c>
      <c r="O282" t="s">
        <v>1122</v>
      </c>
      <c r="P282" t="str">
        <f t="shared" si="12"/>
        <v>2025-10</v>
      </c>
      <c r="Q282">
        <f>IF(tblWO[[#This Row],[Status]]="Completed",1,
IF(tblWO[[#This Row],[Status]]="In Progress",2,
IF(tblWO[[#This Row],[Status]]="Planned",3,
IF(tblWO[[#This Row],[Status]]="Cancelled",4,99))))</f>
        <v>4</v>
      </c>
      <c r="R282">
        <f t="shared" si="13"/>
        <v>1</v>
      </c>
      <c r="S282" s="6" t="str">
        <f t="shared" si="14"/>
        <v>2025-10</v>
      </c>
    </row>
    <row r="283" spans="1:19">
      <c r="A283" t="s">
        <v>1141</v>
      </c>
      <c r="B283" t="s">
        <v>85</v>
      </c>
      <c r="C283" t="s">
        <v>86</v>
      </c>
      <c r="D283" t="s">
        <v>463</v>
      </c>
      <c r="E283" t="s">
        <v>45</v>
      </c>
      <c r="F283" t="s">
        <v>138</v>
      </c>
      <c r="G283" t="s">
        <v>481</v>
      </c>
      <c r="H283" t="s">
        <v>482</v>
      </c>
      <c r="I283" t="s">
        <v>482</v>
      </c>
      <c r="J283" t="s">
        <v>1142</v>
      </c>
      <c r="K283" s="2">
        <v>103.8</v>
      </c>
      <c r="L283" s="3">
        <v>569158.67000000004</v>
      </c>
      <c r="M283" t="s">
        <v>390</v>
      </c>
      <c r="N283" t="s">
        <v>174</v>
      </c>
      <c r="O283" t="s">
        <v>1143</v>
      </c>
      <c r="P283" t="str">
        <f t="shared" si="12"/>
        <v>2025-08</v>
      </c>
      <c r="Q283">
        <f>IF(tblWO[[#This Row],[Status]]="Completed",1,
IF(tblWO[[#This Row],[Status]]="In Progress",2,
IF(tblWO[[#This Row],[Status]]="Planned",3,
IF(tblWO[[#This Row],[Status]]="Cancelled",4,99))))</f>
        <v>1</v>
      </c>
      <c r="R283">
        <f t="shared" si="13"/>
        <v>5</v>
      </c>
      <c r="S283" s="6" t="str">
        <f t="shared" si="14"/>
        <v>2025-08</v>
      </c>
    </row>
    <row r="284" spans="1:19">
      <c r="A284" t="s">
        <v>1144</v>
      </c>
      <c r="B284" t="s">
        <v>85</v>
      </c>
      <c r="C284" t="s">
        <v>86</v>
      </c>
      <c r="D284" t="s">
        <v>146</v>
      </c>
      <c r="E284" t="s">
        <v>37</v>
      </c>
      <c r="F284" t="s">
        <v>138</v>
      </c>
      <c r="G284" t="s">
        <v>1145</v>
      </c>
      <c r="H284" t="s">
        <v>1146</v>
      </c>
      <c r="I284" t="s">
        <v>1146</v>
      </c>
      <c r="J284" t="s">
        <v>1147</v>
      </c>
      <c r="K284" s="2">
        <v>12.5</v>
      </c>
      <c r="L284" s="3">
        <v>250796.33</v>
      </c>
      <c r="M284" t="s">
        <v>234</v>
      </c>
      <c r="N284" t="s">
        <v>156</v>
      </c>
      <c r="O284" t="s">
        <v>1148</v>
      </c>
      <c r="P284" t="str">
        <f t="shared" si="12"/>
        <v>2025-11</v>
      </c>
      <c r="Q284">
        <f>IF(tblWO[[#This Row],[Status]]="Completed",1,
IF(tblWO[[#This Row],[Status]]="In Progress",2,
IF(tblWO[[#This Row],[Status]]="Planned",3,
IF(tblWO[[#This Row],[Status]]="Cancelled",4,99))))</f>
        <v>1</v>
      </c>
      <c r="R284">
        <f t="shared" si="13"/>
        <v>3</v>
      </c>
      <c r="S284" s="6" t="str">
        <f t="shared" si="14"/>
        <v>2025-11</v>
      </c>
    </row>
    <row r="285" spans="1:19">
      <c r="A285" t="s">
        <v>1149</v>
      </c>
      <c r="B285" t="s">
        <v>88</v>
      </c>
      <c r="C285" t="s">
        <v>89</v>
      </c>
      <c r="D285" t="s">
        <v>158</v>
      </c>
      <c r="E285" t="s">
        <v>32</v>
      </c>
      <c r="F285" t="s">
        <v>147</v>
      </c>
      <c r="G285" t="s">
        <v>1150</v>
      </c>
      <c r="H285" t="s">
        <v>1151</v>
      </c>
      <c r="K285" s="2">
        <v>0</v>
      </c>
      <c r="L285" s="3">
        <v>0</v>
      </c>
      <c r="N285" t="s">
        <v>174</v>
      </c>
      <c r="O285" t="s">
        <v>1152</v>
      </c>
      <c r="P285" t="str">
        <f t="shared" si="12"/>
        <v>2025-07</v>
      </c>
      <c r="Q285">
        <f>IF(tblWO[[#This Row],[Status]]="Completed",1,
IF(tblWO[[#This Row],[Status]]="In Progress",2,
IF(tblWO[[#This Row],[Status]]="Planned",3,
IF(tblWO[[#This Row],[Status]]="Cancelled",4,99))))</f>
        <v>2</v>
      </c>
      <c r="R285">
        <f t="shared" si="13"/>
        <v>1</v>
      </c>
      <c r="S285" s="6" t="str">
        <f t="shared" si="14"/>
        <v>2025-07</v>
      </c>
    </row>
    <row r="286" spans="1:19">
      <c r="A286" t="s">
        <v>1153</v>
      </c>
      <c r="B286" t="s">
        <v>88</v>
      </c>
      <c r="C286" t="s">
        <v>89</v>
      </c>
      <c r="D286" t="s">
        <v>146</v>
      </c>
      <c r="E286" t="s">
        <v>45</v>
      </c>
      <c r="F286" t="s">
        <v>138</v>
      </c>
      <c r="G286" t="s">
        <v>652</v>
      </c>
      <c r="H286" t="s">
        <v>653</v>
      </c>
      <c r="I286" t="s">
        <v>653</v>
      </c>
      <c r="J286" t="s">
        <v>1154</v>
      </c>
      <c r="K286" s="2">
        <v>5.7</v>
      </c>
      <c r="L286" s="3">
        <v>407581.62</v>
      </c>
      <c r="M286" t="s">
        <v>249</v>
      </c>
      <c r="N286" t="s">
        <v>342</v>
      </c>
      <c r="O286" t="s">
        <v>1155</v>
      </c>
      <c r="P286" t="str">
        <f t="shared" si="12"/>
        <v>2025-12</v>
      </c>
      <c r="Q286">
        <f>IF(tblWO[[#This Row],[Status]]="Completed",1,
IF(tblWO[[#This Row],[Status]]="In Progress",2,
IF(tblWO[[#This Row],[Status]]="Planned",3,
IF(tblWO[[#This Row],[Status]]="Cancelled",4,99))))</f>
        <v>1</v>
      </c>
      <c r="R286">
        <f t="shared" si="13"/>
        <v>3</v>
      </c>
      <c r="S286" s="6" t="str">
        <f t="shared" si="14"/>
        <v>2025-12</v>
      </c>
    </row>
    <row r="287" spans="1:19">
      <c r="A287" t="s">
        <v>1156</v>
      </c>
      <c r="B287" t="s">
        <v>88</v>
      </c>
      <c r="C287" t="s">
        <v>89</v>
      </c>
      <c r="D287" t="s">
        <v>158</v>
      </c>
      <c r="E287" t="s">
        <v>45</v>
      </c>
      <c r="F287" t="s">
        <v>271</v>
      </c>
      <c r="G287" t="s">
        <v>1157</v>
      </c>
      <c r="H287" t="s">
        <v>1158</v>
      </c>
      <c r="K287" s="2">
        <v>0</v>
      </c>
      <c r="L287" s="3">
        <v>0</v>
      </c>
      <c r="N287" t="s">
        <v>174</v>
      </c>
      <c r="O287" t="s">
        <v>1152</v>
      </c>
      <c r="P287" t="str">
        <f t="shared" si="12"/>
        <v>2025-10</v>
      </c>
      <c r="Q287">
        <f>IF(tblWO[[#This Row],[Status]]="Completed",1,
IF(tblWO[[#This Row],[Status]]="In Progress",2,
IF(tblWO[[#This Row],[Status]]="Planned",3,
IF(tblWO[[#This Row],[Status]]="Cancelled",4,99))))</f>
        <v>4</v>
      </c>
      <c r="R287">
        <f t="shared" si="13"/>
        <v>1</v>
      </c>
      <c r="S287" s="6" t="str">
        <f t="shared" si="14"/>
        <v>2025-10</v>
      </c>
    </row>
    <row r="288" spans="1:19">
      <c r="A288" t="s">
        <v>1159</v>
      </c>
      <c r="B288" t="s">
        <v>88</v>
      </c>
      <c r="C288" t="s">
        <v>89</v>
      </c>
      <c r="D288" t="s">
        <v>463</v>
      </c>
      <c r="E288" t="s">
        <v>10</v>
      </c>
      <c r="F288" t="s">
        <v>138</v>
      </c>
      <c r="G288" t="s">
        <v>515</v>
      </c>
      <c r="H288" t="s">
        <v>516</v>
      </c>
      <c r="I288" t="s">
        <v>516</v>
      </c>
      <c r="J288" t="s">
        <v>1160</v>
      </c>
      <c r="K288" s="2">
        <v>48.8</v>
      </c>
      <c r="L288" s="3">
        <v>1010676.24</v>
      </c>
      <c r="M288" t="s">
        <v>390</v>
      </c>
      <c r="N288" t="s">
        <v>150</v>
      </c>
      <c r="O288" t="s">
        <v>1161</v>
      </c>
      <c r="P288" t="str">
        <f t="shared" si="12"/>
        <v>2025-06</v>
      </c>
      <c r="Q288">
        <f>IF(tblWO[[#This Row],[Status]]="Completed",1,
IF(tblWO[[#This Row],[Status]]="In Progress",2,
IF(tblWO[[#This Row],[Status]]="Planned",3,
IF(tblWO[[#This Row],[Status]]="Cancelled",4,99))))</f>
        <v>1</v>
      </c>
      <c r="R288">
        <f t="shared" si="13"/>
        <v>5</v>
      </c>
      <c r="S288" s="6" t="str">
        <f t="shared" si="14"/>
        <v>2025-06</v>
      </c>
    </row>
    <row r="289" spans="1:19">
      <c r="A289" t="s">
        <v>1162</v>
      </c>
      <c r="B289" t="s">
        <v>88</v>
      </c>
      <c r="C289" t="s">
        <v>89</v>
      </c>
      <c r="D289" t="s">
        <v>158</v>
      </c>
      <c r="E289" t="s">
        <v>45</v>
      </c>
      <c r="F289" t="s">
        <v>138</v>
      </c>
      <c r="G289" t="s">
        <v>1163</v>
      </c>
      <c r="H289" t="s">
        <v>1164</v>
      </c>
      <c r="I289" t="s">
        <v>1164</v>
      </c>
      <c r="J289" t="s">
        <v>1165</v>
      </c>
      <c r="K289" s="2">
        <v>3.5</v>
      </c>
      <c r="L289" s="3">
        <v>299425.68</v>
      </c>
      <c r="M289" t="s">
        <v>142</v>
      </c>
      <c r="N289" t="s">
        <v>156</v>
      </c>
      <c r="O289" t="s">
        <v>1152</v>
      </c>
      <c r="P289" t="str">
        <f t="shared" si="12"/>
        <v>2025-07</v>
      </c>
      <c r="Q289">
        <f>IF(tblWO[[#This Row],[Status]]="Completed",1,
IF(tblWO[[#This Row],[Status]]="In Progress",2,
IF(tblWO[[#This Row],[Status]]="Planned",3,
IF(tblWO[[#This Row],[Status]]="Cancelled",4,99))))</f>
        <v>1</v>
      </c>
      <c r="R289">
        <f t="shared" si="13"/>
        <v>1</v>
      </c>
      <c r="S289" s="6" t="str">
        <f t="shared" si="14"/>
        <v>2025-07</v>
      </c>
    </row>
    <row r="290" spans="1:19">
      <c r="A290" t="s">
        <v>1166</v>
      </c>
      <c r="B290" t="s">
        <v>88</v>
      </c>
      <c r="C290" t="s">
        <v>89</v>
      </c>
      <c r="D290" t="s">
        <v>158</v>
      </c>
      <c r="E290" t="s">
        <v>32</v>
      </c>
      <c r="F290" t="s">
        <v>138</v>
      </c>
      <c r="G290" t="s">
        <v>565</v>
      </c>
      <c r="H290" t="s">
        <v>566</v>
      </c>
      <c r="I290" t="s">
        <v>566</v>
      </c>
      <c r="J290" t="s">
        <v>1167</v>
      </c>
      <c r="K290" s="2">
        <v>9.3000000000000007</v>
      </c>
      <c r="L290" s="3">
        <v>137082.16</v>
      </c>
      <c r="M290" t="s">
        <v>142</v>
      </c>
      <c r="N290" t="s">
        <v>342</v>
      </c>
      <c r="O290" t="s">
        <v>1152</v>
      </c>
      <c r="P290" t="str">
        <f t="shared" si="12"/>
        <v>2025-07</v>
      </c>
      <c r="Q290">
        <f>IF(tblWO[[#This Row],[Status]]="Completed",1,
IF(tblWO[[#This Row],[Status]]="In Progress",2,
IF(tblWO[[#This Row],[Status]]="Planned",3,
IF(tblWO[[#This Row],[Status]]="Cancelled",4,99))))</f>
        <v>1</v>
      </c>
      <c r="R290">
        <f t="shared" si="13"/>
        <v>1</v>
      </c>
      <c r="S290" s="6" t="str">
        <f t="shared" si="14"/>
        <v>2025-07</v>
      </c>
    </row>
    <row r="291" spans="1:19">
      <c r="A291" t="s">
        <v>1168</v>
      </c>
      <c r="B291" t="s">
        <v>88</v>
      </c>
      <c r="C291" t="s">
        <v>89</v>
      </c>
      <c r="D291" t="s">
        <v>158</v>
      </c>
      <c r="E291" t="s">
        <v>10</v>
      </c>
      <c r="F291" t="s">
        <v>138</v>
      </c>
      <c r="G291" t="s">
        <v>1169</v>
      </c>
      <c r="H291" t="s">
        <v>1170</v>
      </c>
      <c r="I291" t="s">
        <v>1170</v>
      </c>
      <c r="J291" t="s">
        <v>1171</v>
      </c>
      <c r="K291" s="2">
        <v>9.1999999999999993</v>
      </c>
      <c r="L291" s="3">
        <v>163111.79999999999</v>
      </c>
      <c r="M291" t="s">
        <v>142</v>
      </c>
      <c r="N291" t="s">
        <v>185</v>
      </c>
      <c r="O291" t="s">
        <v>1152</v>
      </c>
      <c r="P291" t="str">
        <f t="shared" si="12"/>
        <v>2025-04</v>
      </c>
      <c r="Q291">
        <f>IF(tblWO[[#This Row],[Status]]="Completed",1,
IF(tblWO[[#This Row],[Status]]="In Progress",2,
IF(tblWO[[#This Row],[Status]]="Planned",3,
IF(tblWO[[#This Row],[Status]]="Cancelled",4,99))))</f>
        <v>1</v>
      </c>
      <c r="R291">
        <f t="shared" si="13"/>
        <v>1</v>
      </c>
      <c r="S291" s="6" t="str">
        <f t="shared" si="14"/>
        <v>2025-04</v>
      </c>
    </row>
    <row r="292" spans="1:19">
      <c r="A292" t="s">
        <v>1172</v>
      </c>
      <c r="B292" t="s">
        <v>92</v>
      </c>
      <c r="C292" t="s">
        <v>93</v>
      </c>
      <c r="D292" t="s">
        <v>158</v>
      </c>
      <c r="E292" t="s">
        <v>45</v>
      </c>
      <c r="F292" t="s">
        <v>138</v>
      </c>
      <c r="G292" t="s">
        <v>1173</v>
      </c>
      <c r="H292" t="s">
        <v>1174</v>
      </c>
      <c r="I292" t="s">
        <v>1174</v>
      </c>
      <c r="J292" t="s">
        <v>1175</v>
      </c>
      <c r="K292" s="2">
        <v>8.8000000000000007</v>
      </c>
      <c r="L292" s="3">
        <v>91088.52</v>
      </c>
      <c r="M292" t="s">
        <v>142</v>
      </c>
      <c r="N292" t="s">
        <v>150</v>
      </c>
      <c r="O292" t="s">
        <v>1176</v>
      </c>
      <c r="P292" t="str">
        <f t="shared" si="12"/>
        <v>2025-12</v>
      </c>
      <c r="Q292">
        <f>IF(tblWO[[#This Row],[Status]]="Completed",1,
IF(tblWO[[#This Row],[Status]]="In Progress",2,
IF(tblWO[[#This Row],[Status]]="Planned",3,
IF(tblWO[[#This Row],[Status]]="Cancelled",4,99))))</f>
        <v>1</v>
      </c>
      <c r="R292">
        <f t="shared" si="13"/>
        <v>1</v>
      </c>
      <c r="S292" s="6" t="str">
        <f t="shared" si="14"/>
        <v>2025-12</v>
      </c>
    </row>
    <row r="293" spans="1:19">
      <c r="A293" t="s">
        <v>1177</v>
      </c>
      <c r="B293" t="s">
        <v>92</v>
      </c>
      <c r="C293" t="s">
        <v>93</v>
      </c>
      <c r="D293" t="s">
        <v>146</v>
      </c>
      <c r="E293" t="s">
        <v>45</v>
      </c>
      <c r="F293" t="s">
        <v>138</v>
      </c>
      <c r="G293" t="s">
        <v>888</v>
      </c>
      <c r="H293" t="s">
        <v>889</v>
      </c>
      <c r="I293" t="s">
        <v>889</v>
      </c>
      <c r="J293" t="s">
        <v>1178</v>
      </c>
      <c r="K293" s="2">
        <v>20</v>
      </c>
      <c r="L293" s="3">
        <v>351904.13</v>
      </c>
      <c r="M293" t="s">
        <v>390</v>
      </c>
      <c r="N293" t="s">
        <v>143</v>
      </c>
      <c r="O293" t="s">
        <v>1179</v>
      </c>
      <c r="P293" t="str">
        <f t="shared" si="12"/>
        <v>2025-03</v>
      </c>
      <c r="Q293">
        <f>IF(tblWO[[#This Row],[Status]]="Completed",1,
IF(tblWO[[#This Row],[Status]]="In Progress",2,
IF(tblWO[[#This Row],[Status]]="Planned",3,
IF(tblWO[[#This Row],[Status]]="Cancelled",4,99))))</f>
        <v>1</v>
      </c>
      <c r="R293">
        <f t="shared" si="13"/>
        <v>3</v>
      </c>
      <c r="S293" s="6" t="str">
        <f t="shared" si="14"/>
        <v>2025-03</v>
      </c>
    </row>
    <row r="294" spans="1:19">
      <c r="A294" t="s">
        <v>1180</v>
      </c>
      <c r="B294" t="s">
        <v>92</v>
      </c>
      <c r="C294" t="s">
        <v>93</v>
      </c>
      <c r="D294" t="s">
        <v>146</v>
      </c>
      <c r="E294" t="s">
        <v>37</v>
      </c>
      <c r="F294" t="s">
        <v>138</v>
      </c>
      <c r="G294" t="s">
        <v>575</v>
      </c>
      <c r="H294" t="s">
        <v>576</v>
      </c>
      <c r="I294" t="s">
        <v>576</v>
      </c>
      <c r="J294" t="s">
        <v>1181</v>
      </c>
      <c r="K294" s="2">
        <v>15.8</v>
      </c>
      <c r="L294" s="3">
        <v>255534.31</v>
      </c>
      <c r="M294" t="s">
        <v>213</v>
      </c>
      <c r="N294" t="s">
        <v>150</v>
      </c>
      <c r="O294" t="s">
        <v>1179</v>
      </c>
      <c r="P294" t="str">
        <f t="shared" si="12"/>
        <v>2025-07</v>
      </c>
      <c r="Q294">
        <f>IF(tblWO[[#This Row],[Status]]="Completed",1,
IF(tblWO[[#This Row],[Status]]="In Progress",2,
IF(tblWO[[#This Row],[Status]]="Planned",3,
IF(tblWO[[#This Row],[Status]]="Cancelled",4,99))))</f>
        <v>1</v>
      </c>
      <c r="R294">
        <f t="shared" si="13"/>
        <v>3</v>
      </c>
      <c r="S294" s="6" t="str">
        <f t="shared" si="14"/>
        <v>2025-07</v>
      </c>
    </row>
    <row r="295" spans="1:19">
      <c r="A295" t="s">
        <v>1182</v>
      </c>
      <c r="B295" t="s">
        <v>92</v>
      </c>
      <c r="C295" t="s">
        <v>93</v>
      </c>
      <c r="D295" t="s">
        <v>158</v>
      </c>
      <c r="E295" t="s">
        <v>10</v>
      </c>
      <c r="F295" t="s">
        <v>138</v>
      </c>
      <c r="G295" t="s">
        <v>999</v>
      </c>
      <c r="H295" t="s">
        <v>1000</v>
      </c>
      <c r="I295" t="s">
        <v>1000</v>
      </c>
      <c r="J295" t="s">
        <v>1183</v>
      </c>
      <c r="K295" s="2">
        <v>10.7</v>
      </c>
      <c r="L295" s="3">
        <v>96739.96</v>
      </c>
      <c r="M295" t="s">
        <v>142</v>
      </c>
      <c r="N295" t="s">
        <v>342</v>
      </c>
      <c r="O295" t="s">
        <v>1176</v>
      </c>
      <c r="P295" t="str">
        <f t="shared" si="12"/>
        <v>2025-12</v>
      </c>
      <c r="Q295">
        <f>IF(tblWO[[#This Row],[Status]]="Completed",1,
IF(tblWO[[#This Row],[Status]]="In Progress",2,
IF(tblWO[[#This Row],[Status]]="Planned",3,
IF(tblWO[[#This Row],[Status]]="Cancelled",4,99))))</f>
        <v>1</v>
      </c>
      <c r="R295">
        <f t="shared" si="13"/>
        <v>1</v>
      </c>
      <c r="S295" s="6" t="str">
        <f t="shared" si="14"/>
        <v>2025-12</v>
      </c>
    </row>
    <row r="296" spans="1:19">
      <c r="A296" t="s">
        <v>1184</v>
      </c>
      <c r="B296" t="s">
        <v>92</v>
      </c>
      <c r="C296" t="s">
        <v>93</v>
      </c>
      <c r="D296" t="s">
        <v>158</v>
      </c>
      <c r="E296" t="s">
        <v>45</v>
      </c>
      <c r="F296" t="s">
        <v>147</v>
      </c>
      <c r="G296" t="s">
        <v>1185</v>
      </c>
      <c r="H296" t="s">
        <v>1186</v>
      </c>
      <c r="K296" s="2">
        <v>0</v>
      </c>
      <c r="L296" s="3">
        <v>0</v>
      </c>
      <c r="N296" t="s">
        <v>342</v>
      </c>
      <c r="O296" t="s">
        <v>1176</v>
      </c>
      <c r="P296" t="str">
        <f t="shared" si="12"/>
        <v>2025-02</v>
      </c>
      <c r="Q296">
        <f>IF(tblWO[[#This Row],[Status]]="Completed",1,
IF(tblWO[[#This Row],[Status]]="In Progress",2,
IF(tblWO[[#This Row],[Status]]="Planned",3,
IF(tblWO[[#This Row],[Status]]="Cancelled",4,99))))</f>
        <v>2</v>
      </c>
      <c r="R296">
        <f t="shared" si="13"/>
        <v>1</v>
      </c>
      <c r="S296" s="6" t="str">
        <f t="shared" si="14"/>
        <v>2025-02</v>
      </c>
    </row>
    <row r="297" spans="1:19">
      <c r="A297" t="s">
        <v>1187</v>
      </c>
      <c r="B297" t="s">
        <v>92</v>
      </c>
      <c r="C297" t="s">
        <v>93</v>
      </c>
      <c r="D297" t="s">
        <v>146</v>
      </c>
      <c r="E297" t="s">
        <v>32</v>
      </c>
      <c r="F297" t="s">
        <v>138</v>
      </c>
      <c r="G297" t="s">
        <v>1163</v>
      </c>
      <c r="H297" t="s">
        <v>1164</v>
      </c>
      <c r="I297" t="s">
        <v>1164</v>
      </c>
      <c r="J297" t="s">
        <v>1188</v>
      </c>
      <c r="K297" s="2">
        <v>16.3</v>
      </c>
      <c r="L297" s="3">
        <v>425495.3</v>
      </c>
      <c r="M297" t="s">
        <v>173</v>
      </c>
      <c r="N297" t="s">
        <v>239</v>
      </c>
      <c r="O297" t="s">
        <v>1179</v>
      </c>
      <c r="P297" t="str">
        <f t="shared" si="12"/>
        <v>2025-07</v>
      </c>
      <c r="Q297">
        <f>IF(tblWO[[#This Row],[Status]]="Completed",1,
IF(tblWO[[#This Row],[Status]]="In Progress",2,
IF(tblWO[[#This Row],[Status]]="Planned",3,
IF(tblWO[[#This Row],[Status]]="Cancelled",4,99))))</f>
        <v>1</v>
      </c>
      <c r="R297">
        <f t="shared" si="13"/>
        <v>3</v>
      </c>
      <c r="S297" s="6" t="str">
        <f t="shared" si="14"/>
        <v>2025-07</v>
      </c>
    </row>
    <row r="298" spans="1:19">
      <c r="A298" t="s">
        <v>1189</v>
      </c>
      <c r="B298" t="s">
        <v>92</v>
      </c>
      <c r="C298" t="s">
        <v>93</v>
      </c>
      <c r="D298" t="s">
        <v>137</v>
      </c>
      <c r="E298" t="s">
        <v>10</v>
      </c>
      <c r="F298" t="s">
        <v>138</v>
      </c>
      <c r="G298" t="s">
        <v>1190</v>
      </c>
      <c r="H298" t="s">
        <v>1191</v>
      </c>
      <c r="I298" t="s">
        <v>1191</v>
      </c>
      <c r="J298" t="s">
        <v>1192</v>
      </c>
      <c r="K298" s="2">
        <v>1.9</v>
      </c>
      <c r="L298" s="3">
        <v>34643.56</v>
      </c>
      <c r="M298" t="s">
        <v>142</v>
      </c>
      <c r="N298" t="s">
        <v>143</v>
      </c>
      <c r="O298" t="s">
        <v>1193</v>
      </c>
      <c r="P298" t="str">
        <f t="shared" si="12"/>
        <v>2025-10</v>
      </c>
      <c r="Q298">
        <f>IF(tblWO[[#This Row],[Status]]="Completed",1,
IF(tblWO[[#This Row],[Status]]="In Progress",2,
IF(tblWO[[#This Row],[Status]]="Planned",3,
IF(tblWO[[#This Row],[Status]]="Cancelled",4,99))))</f>
        <v>1</v>
      </c>
      <c r="R298">
        <f t="shared" si="13"/>
        <v>2</v>
      </c>
      <c r="S298" s="6" t="str">
        <f t="shared" si="14"/>
        <v>2025-10</v>
      </c>
    </row>
    <row r="299" spans="1:19">
      <c r="A299" t="s">
        <v>1194</v>
      </c>
      <c r="B299" t="s">
        <v>92</v>
      </c>
      <c r="C299" t="s">
        <v>93</v>
      </c>
      <c r="D299" t="s">
        <v>146</v>
      </c>
      <c r="E299" t="s">
        <v>37</v>
      </c>
      <c r="F299" t="s">
        <v>138</v>
      </c>
      <c r="G299" t="s">
        <v>632</v>
      </c>
      <c r="H299" t="s">
        <v>633</v>
      </c>
      <c r="I299" t="s">
        <v>633</v>
      </c>
      <c r="J299" t="s">
        <v>1195</v>
      </c>
      <c r="K299" s="2">
        <v>16.7</v>
      </c>
      <c r="L299" s="3">
        <v>377373.17</v>
      </c>
      <c r="M299" t="s">
        <v>213</v>
      </c>
      <c r="N299" t="s">
        <v>143</v>
      </c>
      <c r="O299" t="s">
        <v>1179</v>
      </c>
      <c r="P299" t="str">
        <f t="shared" si="12"/>
        <v>2025-10</v>
      </c>
      <c r="Q299">
        <f>IF(tblWO[[#This Row],[Status]]="Completed",1,
IF(tblWO[[#This Row],[Status]]="In Progress",2,
IF(tblWO[[#This Row],[Status]]="Planned",3,
IF(tblWO[[#This Row],[Status]]="Cancelled",4,99))))</f>
        <v>1</v>
      </c>
      <c r="R299">
        <f t="shared" si="13"/>
        <v>3</v>
      </c>
      <c r="S299" s="6" t="str">
        <f t="shared" si="14"/>
        <v>2025-10</v>
      </c>
    </row>
    <row r="300" spans="1:19">
      <c r="A300" t="s">
        <v>1196</v>
      </c>
      <c r="B300" t="s">
        <v>92</v>
      </c>
      <c r="C300" t="s">
        <v>93</v>
      </c>
      <c r="D300" t="s">
        <v>146</v>
      </c>
      <c r="E300" t="s">
        <v>45</v>
      </c>
      <c r="F300" t="s">
        <v>138</v>
      </c>
      <c r="G300" t="s">
        <v>455</v>
      </c>
      <c r="H300" t="s">
        <v>456</v>
      </c>
      <c r="I300" t="s">
        <v>456</v>
      </c>
      <c r="J300" t="s">
        <v>1197</v>
      </c>
      <c r="K300" s="2">
        <v>5.0999999999999996</v>
      </c>
      <c r="L300" s="3">
        <v>243615.67</v>
      </c>
      <c r="M300" t="s">
        <v>328</v>
      </c>
      <c r="N300" t="s">
        <v>162</v>
      </c>
      <c r="O300" t="s">
        <v>1179</v>
      </c>
      <c r="P300" t="str">
        <f t="shared" si="12"/>
        <v>2025-05</v>
      </c>
      <c r="Q300">
        <f>IF(tblWO[[#This Row],[Status]]="Completed",1,
IF(tblWO[[#This Row],[Status]]="In Progress",2,
IF(tblWO[[#This Row],[Status]]="Planned",3,
IF(tblWO[[#This Row],[Status]]="Cancelled",4,99))))</f>
        <v>1</v>
      </c>
      <c r="R300">
        <f t="shared" si="13"/>
        <v>3</v>
      </c>
      <c r="S300" s="6" t="str">
        <f t="shared" si="14"/>
        <v>2025-05</v>
      </c>
    </row>
    <row r="301" spans="1:19">
      <c r="A301" t="s">
        <v>1198</v>
      </c>
      <c r="B301" t="s">
        <v>92</v>
      </c>
      <c r="C301" t="s">
        <v>93</v>
      </c>
      <c r="D301" t="s">
        <v>158</v>
      </c>
      <c r="E301" t="s">
        <v>45</v>
      </c>
      <c r="F301" t="s">
        <v>202</v>
      </c>
      <c r="G301" t="s">
        <v>1199</v>
      </c>
      <c r="H301" t="s">
        <v>1200</v>
      </c>
      <c r="K301" s="2">
        <v>0</v>
      </c>
      <c r="L301" s="3">
        <v>0</v>
      </c>
      <c r="N301" t="s">
        <v>156</v>
      </c>
      <c r="O301" t="s">
        <v>1176</v>
      </c>
      <c r="P301" t="str">
        <f t="shared" si="12"/>
        <v>2025-03</v>
      </c>
      <c r="Q301">
        <f>IF(tblWO[[#This Row],[Status]]="Completed",1,
IF(tblWO[[#This Row],[Status]]="In Progress",2,
IF(tblWO[[#This Row],[Status]]="Planned",3,
IF(tblWO[[#This Row],[Status]]="Cancelled",4,99))))</f>
        <v>3</v>
      </c>
      <c r="R301">
        <f t="shared" si="13"/>
        <v>1</v>
      </c>
      <c r="S301" s="6" t="str">
        <f t="shared" si="14"/>
        <v>2025-03</v>
      </c>
    </row>
    <row r="302" spans="1:19">
      <c r="A302" t="s">
        <v>1201</v>
      </c>
      <c r="B302" t="s">
        <v>92</v>
      </c>
      <c r="C302" t="s">
        <v>93</v>
      </c>
      <c r="D302" t="s">
        <v>158</v>
      </c>
      <c r="E302" t="s">
        <v>45</v>
      </c>
      <c r="F302" t="s">
        <v>138</v>
      </c>
      <c r="G302" t="s">
        <v>1137</v>
      </c>
      <c r="H302" t="s">
        <v>1138</v>
      </c>
      <c r="I302" t="s">
        <v>1138</v>
      </c>
      <c r="J302" t="s">
        <v>1202</v>
      </c>
      <c r="K302" s="2">
        <v>2.8</v>
      </c>
      <c r="L302" s="3">
        <v>57715.18</v>
      </c>
      <c r="M302" t="s">
        <v>142</v>
      </c>
      <c r="N302" t="s">
        <v>150</v>
      </c>
      <c r="O302" t="s">
        <v>1176</v>
      </c>
      <c r="P302" t="str">
        <f t="shared" si="12"/>
        <v>2025-08</v>
      </c>
      <c r="Q302">
        <f>IF(tblWO[[#This Row],[Status]]="Completed",1,
IF(tblWO[[#This Row],[Status]]="In Progress",2,
IF(tblWO[[#This Row],[Status]]="Planned",3,
IF(tblWO[[#This Row],[Status]]="Cancelled",4,99))))</f>
        <v>1</v>
      </c>
      <c r="R302">
        <f t="shared" si="13"/>
        <v>1</v>
      </c>
      <c r="S302" s="6" t="str">
        <f t="shared" si="14"/>
        <v>2025-08</v>
      </c>
    </row>
    <row r="303" spans="1:19">
      <c r="A303" t="s">
        <v>1203</v>
      </c>
      <c r="B303" t="s">
        <v>92</v>
      </c>
      <c r="C303" t="s">
        <v>93</v>
      </c>
      <c r="D303" t="s">
        <v>158</v>
      </c>
      <c r="E303" t="s">
        <v>45</v>
      </c>
      <c r="F303" t="s">
        <v>138</v>
      </c>
      <c r="G303" t="s">
        <v>1204</v>
      </c>
      <c r="H303" t="s">
        <v>1205</v>
      </c>
      <c r="I303" t="s">
        <v>1205</v>
      </c>
      <c r="J303" t="s">
        <v>1206</v>
      </c>
      <c r="K303" s="2">
        <v>7.7</v>
      </c>
      <c r="L303" s="3">
        <v>243136.91</v>
      </c>
      <c r="M303" t="s">
        <v>142</v>
      </c>
      <c r="N303" t="s">
        <v>156</v>
      </c>
      <c r="O303" t="s">
        <v>1176</v>
      </c>
      <c r="P303" t="str">
        <f t="shared" si="12"/>
        <v>2025-05</v>
      </c>
      <c r="Q303">
        <f>IF(tblWO[[#This Row],[Status]]="Completed",1,
IF(tblWO[[#This Row],[Status]]="In Progress",2,
IF(tblWO[[#This Row],[Status]]="Planned",3,
IF(tblWO[[#This Row],[Status]]="Cancelled",4,99))))</f>
        <v>1</v>
      </c>
      <c r="R303">
        <f t="shared" si="13"/>
        <v>1</v>
      </c>
      <c r="S303" s="6" t="str">
        <f t="shared" si="14"/>
        <v>2025-05</v>
      </c>
    </row>
    <row r="304" spans="1:19">
      <c r="A304" t="s">
        <v>1207</v>
      </c>
      <c r="B304" t="s">
        <v>92</v>
      </c>
      <c r="C304" t="s">
        <v>93</v>
      </c>
      <c r="D304" t="s">
        <v>146</v>
      </c>
      <c r="E304" t="s">
        <v>32</v>
      </c>
      <c r="F304" t="s">
        <v>138</v>
      </c>
      <c r="G304" t="s">
        <v>1208</v>
      </c>
      <c r="H304" t="s">
        <v>1209</v>
      </c>
      <c r="I304" t="s">
        <v>1209</v>
      </c>
      <c r="J304" t="s">
        <v>1210</v>
      </c>
      <c r="K304" s="2">
        <v>11.3</v>
      </c>
      <c r="L304" s="3">
        <v>429044.37</v>
      </c>
      <c r="M304" t="s">
        <v>184</v>
      </c>
      <c r="N304" t="s">
        <v>162</v>
      </c>
      <c r="O304" t="s">
        <v>1179</v>
      </c>
      <c r="P304" t="str">
        <f t="shared" si="12"/>
        <v>2025-10</v>
      </c>
      <c r="Q304">
        <f>IF(tblWO[[#This Row],[Status]]="Completed",1,
IF(tblWO[[#This Row],[Status]]="In Progress",2,
IF(tblWO[[#This Row],[Status]]="Planned",3,
IF(tblWO[[#This Row],[Status]]="Cancelled",4,99))))</f>
        <v>1</v>
      </c>
      <c r="R304">
        <f t="shared" si="13"/>
        <v>3</v>
      </c>
      <c r="S304" s="6" t="str">
        <f t="shared" si="14"/>
        <v>2025-10</v>
      </c>
    </row>
    <row r="305" spans="1:19">
      <c r="A305" t="s">
        <v>1211</v>
      </c>
      <c r="B305" t="s">
        <v>92</v>
      </c>
      <c r="C305" t="s">
        <v>93</v>
      </c>
      <c r="D305" t="s">
        <v>169</v>
      </c>
      <c r="E305" t="s">
        <v>45</v>
      </c>
      <c r="F305" t="s">
        <v>138</v>
      </c>
      <c r="G305" t="s">
        <v>811</v>
      </c>
      <c r="H305" t="s">
        <v>812</v>
      </c>
      <c r="I305" t="s">
        <v>812</v>
      </c>
      <c r="J305" t="s">
        <v>1212</v>
      </c>
      <c r="K305" s="2">
        <v>34.1</v>
      </c>
      <c r="L305" s="3">
        <v>348518.97</v>
      </c>
      <c r="M305" t="s">
        <v>328</v>
      </c>
      <c r="N305" t="s">
        <v>162</v>
      </c>
      <c r="O305" t="s">
        <v>1213</v>
      </c>
      <c r="P305" t="str">
        <f t="shared" si="12"/>
        <v>2025-09</v>
      </c>
      <c r="Q305">
        <f>IF(tblWO[[#This Row],[Status]]="Completed",1,
IF(tblWO[[#This Row],[Status]]="In Progress",2,
IF(tblWO[[#This Row],[Status]]="Planned",3,
IF(tblWO[[#This Row],[Status]]="Cancelled",4,99))))</f>
        <v>1</v>
      </c>
      <c r="R305">
        <f t="shared" si="13"/>
        <v>4</v>
      </c>
      <c r="S305" s="6" t="str">
        <f t="shared" si="14"/>
        <v>2025-09</v>
      </c>
    </row>
    <row r="306" spans="1:19">
      <c r="A306" t="s">
        <v>1214</v>
      </c>
      <c r="B306" t="s">
        <v>92</v>
      </c>
      <c r="C306" t="s">
        <v>93</v>
      </c>
      <c r="D306" t="s">
        <v>158</v>
      </c>
      <c r="E306" t="s">
        <v>32</v>
      </c>
      <c r="F306" t="s">
        <v>138</v>
      </c>
      <c r="G306" t="s">
        <v>1215</v>
      </c>
      <c r="H306" t="s">
        <v>1216</v>
      </c>
      <c r="I306" t="s">
        <v>1216</v>
      </c>
      <c r="J306" t="s">
        <v>1217</v>
      </c>
      <c r="K306" s="2">
        <v>3.2</v>
      </c>
      <c r="L306" s="3">
        <v>252972.23</v>
      </c>
      <c r="M306" t="s">
        <v>142</v>
      </c>
      <c r="N306" t="s">
        <v>150</v>
      </c>
      <c r="O306" t="s">
        <v>1176</v>
      </c>
      <c r="P306" t="str">
        <f t="shared" si="12"/>
        <v>2025-06</v>
      </c>
      <c r="Q306">
        <f>IF(tblWO[[#This Row],[Status]]="Completed",1,
IF(tblWO[[#This Row],[Status]]="In Progress",2,
IF(tblWO[[#This Row],[Status]]="Planned",3,
IF(tblWO[[#This Row],[Status]]="Cancelled",4,99))))</f>
        <v>1</v>
      </c>
      <c r="R306">
        <f t="shared" si="13"/>
        <v>1</v>
      </c>
      <c r="S306" s="6" t="str">
        <f t="shared" si="14"/>
        <v>2025-06</v>
      </c>
    </row>
    <row r="307" spans="1:19">
      <c r="A307" t="s">
        <v>1218</v>
      </c>
      <c r="B307" t="s">
        <v>92</v>
      </c>
      <c r="C307" t="s">
        <v>93</v>
      </c>
      <c r="D307" t="s">
        <v>169</v>
      </c>
      <c r="E307" t="s">
        <v>45</v>
      </c>
      <c r="F307" t="s">
        <v>138</v>
      </c>
      <c r="G307" t="s">
        <v>1219</v>
      </c>
      <c r="H307" t="s">
        <v>1220</v>
      </c>
      <c r="I307" t="s">
        <v>1220</v>
      </c>
      <c r="J307" t="s">
        <v>1221</v>
      </c>
      <c r="K307" s="2">
        <v>14.6</v>
      </c>
      <c r="L307" s="3">
        <v>283540.98</v>
      </c>
      <c r="M307" t="s">
        <v>173</v>
      </c>
      <c r="N307" t="s">
        <v>150</v>
      </c>
      <c r="O307" t="s">
        <v>1213</v>
      </c>
      <c r="P307" t="str">
        <f t="shared" si="12"/>
        <v>2025-12</v>
      </c>
      <c r="Q307">
        <f>IF(tblWO[[#This Row],[Status]]="Completed",1,
IF(tblWO[[#This Row],[Status]]="In Progress",2,
IF(tblWO[[#This Row],[Status]]="Planned",3,
IF(tblWO[[#This Row],[Status]]="Cancelled",4,99))))</f>
        <v>1</v>
      </c>
      <c r="R307">
        <f t="shared" si="13"/>
        <v>4</v>
      </c>
      <c r="S307" s="6" t="str">
        <f t="shared" si="14"/>
        <v>2025-12</v>
      </c>
    </row>
    <row r="308" spans="1:19">
      <c r="A308" t="s">
        <v>1222</v>
      </c>
      <c r="B308" t="s">
        <v>92</v>
      </c>
      <c r="C308" t="s">
        <v>93</v>
      </c>
      <c r="D308" t="s">
        <v>169</v>
      </c>
      <c r="E308" t="s">
        <v>45</v>
      </c>
      <c r="F308" t="s">
        <v>138</v>
      </c>
      <c r="G308" t="s">
        <v>1223</v>
      </c>
      <c r="H308" t="s">
        <v>1224</v>
      </c>
      <c r="I308" t="s">
        <v>1224</v>
      </c>
      <c r="J308" t="s">
        <v>1225</v>
      </c>
      <c r="K308" s="2">
        <v>20.9</v>
      </c>
      <c r="L308" s="3">
        <v>622432.26</v>
      </c>
      <c r="M308" t="s">
        <v>670</v>
      </c>
      <c r="N308" t="s">
        <v>239</v>
      </c>
      <c r="O308" t="s">
        <v>1213</v>
      </c>
      <c r="P308" t="str">
        <f t="shared" si="12"/>
        <v>2025-10</v>
      </c>
      <c r="Q308">
        <f>IF(tblWO[[#This Row],[Status]]="Completed",1,
IF(tblWO[[#This Row],[Status]]="In Progress",2,
IF(tblWO[[#This Row],[Status]]="Planned",3,
IF(tblWO[[#This Row],[Status]]="Cancelled",4,99))))</f>
        <v>1</v>
      </c>
      <c r="R308">
        <f t="shared" si="13"/>
        <v>4</v>
      </c>
      <c r="S308" s="6" t="str">
        <f t="shared" si="14"/>
        <v>2025-10</v>
      </c>
    </row>
    <row r="309" spans="1:19">
      <c r="A309" t="s">
        <v>1226</v>
      </c>
      <c r="B309" t="s">
        <v>92</v>
      </c>
      <c r="C309" t="s">
        <v>93</v>
      </c>
      <c r="D309" t="s">
        <v>146</v>
      </c>
      <c r="E309" t="s">
        <v>45</v>
      </c>
      <c r="F309" t="s">
        <v>138</v>
      </c>
      <c r="G309" t="s">
        <v>1227</v>
      </c>
      <c r="H309" t="s">
        <v>1228</v>
      </c>
      <c r="I309" t="s">
        <v>1228</v>
      </c>
      <c r="J309" t="s">
        <v>1229</v>
      </c>
      <c r="K309" s="2">
        <v>12.2</v>
      </c>
      <c r="L309" s="3">
        <v>123714.35</v>
      </c>
      <c r="M309" t="s">
        <v>390</v>
      </c>
      <c r="N309" t="s">
        <v>239</v>
      </c>
      <c r="O309" t="s">
        <v>1179</v>
      </c>
      <c r="P309" t="str">
        <f t="shared" si="12"/>
        <v>2025-12</v>
      </c>
      <c r="Q309">
        <f>IF(tblWO[[#This Row],[Status]]="Completed",1,
IF(tblWO[[#This Row],[Status]]="In Progress",2,
IF(tblWO[[#This Row],[Status]]="Planned",3,
IF(tblWO[[#This Row],[Status]]="Cancelled",4,99))))</f>
        <v>1</v>
      </c>
      <c r="R309">
        <f t="shared" si="13"/>
        <v>3</v>
      </c>
      <c r="S309" s="6" t="str">
        <f t="shared" si="14"/>
        <v>2025-12</v>
      </c>
    </row>
    <row r="310" spans="1:19">
      <c r="A310" t="s">
        <v>1230</v>
      </c>
      <c r="B310" t="s">
        <v>92</v>
      </c>
      <c r="C310" t="s">
        <v>93</v>
      </c>
      <c r="D310" t="s">
        <v>137</v>
      </c>
      <c r="E310" t="s">
        <v>10</v>
      </c>
      <c r="F310" t="s">
        <v>138</v>
      </c>
      <c r="G310" t="s">
        <v>364</v>
      </c>
      <c r="H310" t="s">
        <v>365</v>
      </c>
      <c r="I310" t="s">
        <v>365</v>
      </c>
      <c r="J310" t="s">
        <v>1231</v>
      </c>
      <c r="K310" s="2">
        <v>2</v>
      </c>
      <c r="L310" s="3">
        <v>39804.379999999997</v>
      </c>
      <c r="M310" t="s">
        <v>142</v>
      </c>
      <c r="N310" t="s">
        <v>174</v>
      </c>
      <c r="O310" t="s">
        <v>1193</v>
      </c>
      <c r="P310" t="str">
        <f t="shared" si="12"/>
        <v>2025-02</v>
      </c>
      <c r="Q310">
        <f>IF(tblWO[[#This Row],[Status]]="Completed",1,
IF(tblWO[[#This Row],[Status]]="In Progress",2,
IF(tblWO[[#This Row],[Status]]="Planned",3,
IF(tblWO[[#This Row],[Status]]="Cancelled",4,99))))</f>
        <v>1</v>
      </c>
      <c r="R310">
        <f t="shared" si="13"/>
        <v>2</v>
      </c>
      <c r="S310" s="6" t="str">
        <f t="shared" si="14"/>
        <v>2025-02</v>
      </c>
    </row>
    <row r="311" spans="1:19">
      <c r="A311" t="s">
        <v>1232</v>
      </c>
      <c r="B311" t="s">
        <v>95</v>
      </c>
      <c r="C311" t="s">
        <v>96</v>
      </c>
      <c r="D311" t="s">
        <v>158</v>
      </c>
      <c r="E311" t="s">
        <v>45</v>
      </c>
      <c r="F311" t="s">
        <v>138</v>
      </c>
      <c r="G311" t="s">
        <v>528</v>
      </c>
      <c r="H311" t="s">
        <v>529</v>
      </c>
      <c r="I311" t="s">
        <v>529</v>
      </c>
      <c r="J311" t="s">
        <v>1233</v>
      </c>
      <c r="K311" s="2">
        <v>8.3000000000000007</v>
      </c>
      <c r="L311" s="3">
        <v>270031.27</v>
      </c>
      <c r="M311" t="s">
        <v>142</v>
      </c>
      <c r="N311" t="s">
        <v>185</v>
      </c>
      <c r="O311" t="s">
        <v>1234</v>
      </c>
      <c r="P311" t="str">
        <f t="shared" si="12"/>
        <v>2025-11</v>
      </c>
      <c r="Q311">
        <f>IF(tblWO[[#This Row],[Status]]="Completed",1,
IF(tblWO[[#This Row],[Status]]="In Progress",2,
IF(tblWO[[#This Row],[Status]]="Planned",3,
IF(tblWO[[#This Row],[Status]]="Cancelled",4,99))))</f>
        <v>1</v>
      </c>
      <c r="R311">
        <f t="shared" si="13"/>
        <v>1</v>
      </c>
      <c r="S311" s="6" t="str">
        <f t="shared" si="14"/>
        <v>2025-11</v>
      </c>
    </row>
    <row r="312" spans="1:19">
      <c r="A312" t="s">
        <v>1235</v>
      </c>
      <c r="B312" t="s">
        <v>95</v>
      </c>
      <c r="C312" t="s">
        <v>96</v>
      </c>
      <c r="D312" t="s">
        <v>158</v>
      </c>
      <c r="E312" t="s">
        <v>45</v>
      </c>
      <c r="F312" t="s">
        <v>147</v>
      </c>
      <c r="G312" t="s">
        <v>1236</v>
      </c>
      <c r="H312" t="s">
        <v>1237</v>
      </c>
      <c r="K312" s="2">
        <v>0</v>
      </c>
      <c r="L312" s="3">
        <v>0</v>
      </c>
      <c r="N312" t="s">
        <v>156</v>
      </c>
      <c r="O312" t="s">
        <v>1234</v>
      </c>
      <c r="P312" t="str">
        <f t="shared" si="12"/>
        <v>2025-05</v>
      </c>
      <c r="Q312">
        <f>IF(tblWO[[#This Row],[Status]]="Completed",1,
IF(tblWO[[#This Row],[Status]]="In Progress",2,
IF(tblWO[[#This Row],[Status]]="Planned",3,
IF(tblWO[[#This Row],[Status]]="Cancelled",4,99))))</f>
        <v>2</v>
      </c>
      <c r="R312">
        <f t="shared" si="13"/>
        <v>1</v>
      </c>
      <c r="S312" s="6" t="str">
        <f t="shared" si="14"/>
        <v>2025-05</v>
      </c>
    </row>
    <row r="313" spans="1:19">
      <c r="A313" t="s">
        <v>1238</v>
      </c>
      <c r="B313" t="s">
        <v>95</v>
      </c>
      <c r="C313" t="s">
        <v>96</v>
      </c>
      <c r="D313" t="s">
        <v>158</v>
      </c>
      <c r="E313" t="s">
        <v>10</v>
      </c>
      <c r="F313" t="s">
        <v>138</v>
      </c>
      <c r="G313" t="s">
        <v>444</v>
      </c>
      <c r="H313" t="s">
        <v>445</v>
      </c>
      <c r="I313" t="s">
        <v>445</v>
      </c>
      <c r="J313" t="s">
        <v>1239</v>
      </c>
      <c r="K313" s="2">
        <v>11.7</v>
      </c>
      <c r="L313" s="3">
        <v>208710.14</v>
      </c>
      <c r="M313" t="s">
        <v>142</v>
      </c>
      <c r="N313" t="s">
        <v>342</v>
      </c>
      <c r="O313" t="s">
        <v>1234</v>
      </c>
      <c r="P313" t="str">
        <f t="shared" si="12"/>
        <v>2024-12</v>
      </c>
      <c r="Q313">
        <f>IF(tblWO[[#This Row],[Status]]="Completed",1,
IF(tblWO[[#This Row],[Status]]="In Progress",2,
IF(tblWO[[#This Row],[Status]]="Planned",3,
IF(tblWO[[#This Row],[Status]]="Cancelled",4,99))))</f>
        <v>1</v>
      </c>
      <c r="R313">
        <f t="shared" si="13"/>
        <v>1</v>
      </c>
      <c r="S313" s="6" t="str">
        <f t="shared" si="14"/>
        <v>2024-12</v>
      </c>
    </row>
    <row r="314" spans="1:19">
      <c r="A314" t="s">
        <v>1240</v>
      </c>
      <c r="B314" t="s">
        <v>95</v>
      </c>
      <c r="C314" t="s">
        <v>96</v>
      </c>
      <c r="D314" t="s">
        <v>137</v>
      </c>
      <c r="E314" t="s">
        <v>32</v>
      </c>
      <c r="F314" t="s">
        <v>202</v>
      </c>
      <c r="G314" t="s">
        <v>1241</v>
      </c>
      <c r="H314" t="s">
        <v>1242</v>
      </c>
      <c r="K314" s="2">
        <v>0</v>
      </c>
      <c r="L314" s="3">
        <v>0</v>
      </c>
      <c r="N314" t="s">
        <v>156</v>
      </c>
      <c r="O314" t="s">
        <v>1243</v>
      </c>
      <c r="P314" t="str">
        <f t="shared" si="12"/>
        <v>2025-09</v>
      </c>
      <c r="Q314">
        <f>IF(tblWO[[#This Row],[Status]]="Completed",1,
IF(tblWO[[#This Row],[Status]]="In Progress",2,
IF(tblWO[[#This Row],[Status]]="Planned",3,
IF(tblWO[[#This Row],[Status]]="Cancelled",4,99))))</f>
        <v>3</v>
      </c>
      <c r="R314">
        <f t="shared" si="13"/>
        <v>2</v>
      </c>
      <c r="S314" s="6" t="str">
        <f t="shared" si="14"/>
        <v>2025-09</v>
      </c>
    </row>
    <row r="315" spans="1:19">
      <c r="A315" t="s">
        <v>1244</v>
      </c>
      <c r="B315" t="s">
        <v>95</v>
      </c>
      <c r="C315" t="s">
        <v>96</v>
      </c>
      <c r="D315" t="s">
        <v>158</v>
      </c>
      <c r="E315" t="s">
        <v>45</v>
      </c>
      <c r="F315" t="s">
        <v>138</v>
      </c>
      <c r="G315" t="s">
        <v>1245</v>
      </c>
      <c r="H315" t="s">
        <v>1246</v>
      </c>
      <c r="I315" t="s">
        <v>1246</v>
      </c>
      <c r="J315" t="s">
        <v>1247</v>
      </c>
      <c r="K315" s="2">
        <v>6.9</v>
      </c>
      <c r="L315" s="3">
        <v>135934.91</v>
      </c>
      <c r="M315" t="s">
        <v>142</v>
      </c>
      <c r="N315" t="s">
        <v>162</v>
      </c>
      <c r="O315" t="s">
        <v>1234</v>
      </c>
      <c r="P315" t="str">
        <f t="shared" si="12"/>
        <v>2025-05</v>
      </c>
      <c r="Q315">
        <f>IF(tblWO[[#This Row],[Status]]="Completed",1,
IF(tblWO[[#This Row],[Status]]="In Progress",2,
IF(tblWO[[#This Row],[Status]]="Planned",3,
IF(tblWO[[#This Row],[Status]]="Cancelled",4,99))))</f>
        <v>1</v>
      </c>
      <c r="R315">
        <f t="shared" si="13"/>
        <v>1</v>
      </c>
      <c r="S315" s="6" t="str">
        <f t="shared" si="14"/>
        <v>2025-05</v>
      </c>
    </row>
    <row r="316" spans="1:19">
      <c r="A316" t="s">
        <v>1248</v>
      </c>
      <c r="B316" t="s">
        <v>95</v>
      </c>
      <c r="C316" t="s">
        <v>96</v>
      </c>
      <c r="D316" t="s">
        <v>158</v>
      </c>
      <c r="E316" t="s">
        <v>10</v>
      </c>
      <c r="F316" t="s">
        <v>138</v>
      </c>
      <c r="G316" t="s">
        <v>1249</v>
      </c>
      <c r="H316" t="s">
        <v>1250</v>
      </c>
      <c r="I316" t="s">
        <v>1250</v>
      </c>
      <c r="J316" t="s">
        <v>1251</v>
      </c>
      <c r="K316" s="2">
        <v>10.6</v>
      </c>
      <c r="L316" s="3">
        <v>160321.49</v>
      </c>
      <c r="M316" t="s">
        <v>142</v>
      </c>
      <c r="N316" t="s">
        <v>162</v>
      </c>
      <c r="O316" t="s">
        <v>1234</v>
      </c>
      <c r="P316" t="str">
        <f t="shared" si="12"/>
        <v>2025-11</v>
      </c>
      <c r="Q316">
        <f>IF(tblWO[[#This Row],[Status]]="Completed",1,
IF(tblWO[[#This Row],[Status]]="In Progress",2,
IF(tblWO[[#This Row],[Status]]="Planned",3,
IF(tblWO[[#This Row],[Status]]="Cancelled",4,99))))</f>
        <v>1</v>
      </c>
      <c r="R316">
        <f t="shared" si="13"/>
        <v>1</v>
      </c>
      <c r="S316" s="6" t="str">
        <f t="shared" si="14"/>
        <v>2025-11</v>
      </c>
    </row>
    <row r="317" spans="1:19">
      <c r="A317" t="s">
        <v>1252</v>
      </c>
      <c r="B317" t="s">
        <v>95</v>
      </c>
      <c r="C317" t="s">
        <v>96</v>
      </c>
      <c r="D317" t="s">
        <v>463</v>
      </c>
      <c r="E317" t="s">
        <v>10</v>
      </c>
      <c r="F317" t="s">
        <v>138</v>
      </c>
      <c r="G317" t="s">
        <v>351</v>
      </c>
      <c r="H317" t="s">
        <v>352</v>
      </c>
      <c r="I317" t="s">
        <v>352</v>
      </c>
      <c r="J317" t="s">
        <v>1253</v>
      </c>
      <c r="K317" s="2">
        <v>86.4</v>
      </c>
      <c r="L317" s="3">
        <v>658977.46</v>
      </c>
      <c r="M317" t="s">
        <v>390</v>
      </c>
      <c r="N317" t="s">
        <v>239</v>
      </c>
      <c r="O317" t="s">
        <v>1254</v>
      </c>
      <c r="P317" t="str">
        <f t="shared" si="12"/>
        <v>2025-07</v>
      </c>
      <c r="Q317">
        <f>IF(tblWO[[#This Row],[Status]]="Completed",1,
IF(tblWO[[#This Row],[Status]]="In Progress",2,
IF(tblWO[[#This Row],[Status]]="Planned",3,
IF(tblWO[[#This Row],[Status]]="Cancelled",4,99))))</f>
        <v>1</v>
      </c>
      <c r="R317">
        <f t="shared" si="13"/>
        <v>5</v>
      </c>
      <c r="S317" s="6" t="str">
        <f t="shared" si="14"/>
        <v>2025-07</v>
      </c>
    </row>
    <row r="318" spans="1:19">
      <c r="A318" t="s">
        <v>1255</v>
      </c>
      <c r="B318" t="s">
        <v>95</v>
      </c>
      <c r="C318" t="s">
        <v>96</v>
      </c>
      <c r="D318" t="s">
        <v>158</v>
      </c>
      <c r="E318" t="s">
        <v>32</v>
      </c>
      <c r="F318" t="s">
        <v>138</v>
      </c>
      <c r="G318" t="s">
        <v>1256</v>
      </c>
      <c r="H318" t="s">
        <v>1257</v>
      </c>
      <c r="I318" t="s">
        <v>1257</v>
      </c>
      <c r="J318" t="s">
        <v>1258</v>
      </c>
      <c r="K318" s="2">
        <v>3.7</v>
      </c>
      <c r="L318" s="3">
        <v>149085.39000000001</v>
      </c>
      <c r="M318" t="s">
        <v>142</v>
      </c>
      <c r="N318" t="s">
        <v>239</v>
      </c>
      <c r="O318" t="s">
        <v>1234</v>
      </c>
      <c r="P318" t="str">
        <f t="shared" si="12"/>
        <v>2025-06</v>
      </c>
      <c r="Q318">
        <f>IF(tblWO[[#This Row],[Status]]="Completed",1,
IF(tblWO[[#This Row],[Status]]="In Progress",2,
IF(tblWO[[#This Row],[Status]]="Planned",3,
IF(tblWO[[#This Row],[Status]]="Cancelled",4,99))))</f>
        <v>1</v>
      </c>
      <c r="R318">
        <f t="shared" si="13"/>
        <v>1</v>
      </c>
      <c r="S318" s="6" t="str">
        <f t="shared" si="14"/>
        <v>2025-06</v>
      </c>
    </row>
    <row r="319" spans="1:19">
      <c r="A319" t="s">
        <v>1259</v>
      </c>
      <c r="B319" t="s">
        <v>95</v>
      </c>
      <c r="C319" t="s">
        <v>96</v>
      </c>
      <c r="D319" t="s">
        <v>169</v>
      </c>
      <c r="E319" t="s">
        <v>10</v>
      </c>
      <c r="F319" t="s">
        <v>138</v>
      </c>
      <c r="G319" t="s">
        <v>351</v>
      </c>
      <c r="H319" t="s">
        <v>352</v>
      </c>
      <c r="I319" t="s">
        <v>352</v>
      </c>
      <c r="J319" t="s">
        <v>1260</v>
      </c>
      <c r="K319" s="2">
        <v>27.1</v>
      </c>
      <c r="L319" s="3">
        <v>279619.88</v>
      </c>
      <c r="M319" t="s">
        <v>308</v>
      </c>
      <c r="N319" t="s">
        <v>150</v>
      </c>
      <c r="O319" t="s">
        <v>1261</v>
      </c>
      <c r="P319" t="str">
        <f t="shared" si="12"/>
        <v>2025-07</v>
      </c>
      <c r="Q319">
        <f>IF(tblWO[[#This Row],[Status]]="Completed",1,
IF(tblWO[[#This Row],[Status]]="In Progress",2,
IF(tblWO[[#This Row],[Status]]="Planned",3,
IF(tblWO[[#This Row],[Status]]="Cancelled",4,99))))</f>
        <v>1</v>
      </c>
      <c r="R319">
        <f t="shared" si="13"/>
        <v>4</v>
      </c>
      <c r="S319" s="6" t="str">
        <f t="shared" si="14"/>
        <v>2025-07</v>
      </c>
    </row>
    <row r="320" spans="1:19">
      <c r="A320" t="s">
        <v>1262</v>
      </c>
      <c r="B320" t="s">
        <v>98</v>
      </c>
      <c r="C320" t="s">
        <v>99</v>
      </c>
      <c r="D320" t="s">
        <v>146</v>
      </c>
      <c r="E320" t="s">
        <v>32</v>
      </c>
      <c r="F320" t="s">
        <v>138</v>
      </c>
      <c r="G320" t="s">
        <v>896</v>
      </c>
      <c r="H320" t="s">
        <v>897</v>
      </c>
      <c r="I320" t="s">
        <v>897</v>
      </c>
      <c r="J320" t="s">
        <v>1263</v>
      </c>
      <c r="K320" s="2">
        <v>12.4</v>
      </c>
      <c r="L320" s="3">
        <v>152870.06</v>
      </c>
      <c r="M320" t="s">
        <v>670</v>
      </c>
      <c r="N320" t="s">
        <v>185</v>
      </c>
      <c r="O320" t="s">
        <v>1264</v>
      </c>
      <c r="P320" t="str">
        <f t="shared" si="12"/>
        <v>2024-12</v>
      </c>
      <c r="Q320">
        <f>IF(tblWO[[#This Row],[Status]]="Completed",1,
IF(tblWO[[#This Row],[Status]]="In Progress",2,
IF(tblWO[[#This Row],[Status]]="Planned",3,
IF(tblWO[[#This Row],[Status]]="Cancelled",4,99))))</f>
        <v>1</v>
      </c>
      <c r="R320">
        <f t="shared" si="13"/>
        <v>3</v>
      </c>
      <c r="S320" s="6" t="str">
        <f t="shared" si="14"/>
        <v>2024-12</v>
      </c>
    </row>
    <row r="321" spans="1:19">
      <c r="A321" t="s">
        <v>1265</v>
      </c>
      <c r="B321" t="s">
        <v>98</v>
      </c>
      <c r="C321" t="s">
        <v>99</v>
      </c>
      <c r="D321" t="s">
        <v>158</v>
      </c>
      <c r="E321" t="s">
        <v>37</v>
      </c>
      <c r="F321" t="s">
        <v>138</v>
      </c>
      <c r="G321" t="s">
        <v>1117</v>
      </c>
      <c r="H321" t="s">
        <v>1118</v>
      </c>
      <c r="I321" t="s">
        <v>1118</v>
      </c>
      <c r="J321" t="s">
        <v>1266</v>
      </c>
      <c r="K321" s="2">
        <v>10.8</v>
      </c>
      <c r="L321" s="3">
        <v>84282.32</v>
      </c>
      <c r="M321" t="s">
        <v>142</v>
      </c>
      <c r="N321" t="s">
        <v>143</v>
      </c>
      <c r="O321" t="s">
        <v>1267</v>
      </c>
      <c r="P321" t="str">
        <f t="shared" si="12"/>
        <v>2025-02</v>
      </c>
      <c r="Q321">
        <f>IF(tblWO[[#This Row],[Status]]="Completed",1,
IF(tblWO[[#This Row],[Status]]="In Progress",2,
IF(tblWO[[#This Row],[Status]]="Planned",3,
IF(tblWO[[#This Row],[Status]]="Cancelled",4,99))))</f>
        <v>1</v>
      </c>
      <c r="R321">
        <f t="shared" si="13"/>
        <v>1</v>
      </c>
      <c r="S321" s="6" t="str">
        <f t="shared" si="14"/>
        <v>2025-02</v>
      </c>
    </row>
    <row r="322" spans="1:19">
      <c r="A322" t="s">
        <v>1268</v>
      </c>
      <c r="B322" t="s">
        <v>98</v>
      </c>
      <c r="C322" t="s">
        <v>99</v>
      </c>
      <c r="D322" t="s">
        <v>146</v>
      </c>
      <c r="E322" t="s">
        <v>45</v>
      </c>
      <c r="F322" t="s">
        <v>138</v>
      </c>
      <c r="G322" t="s">
        <v>519</v>
      </c>
      <c r="H322" t="s">
        <v>520</v>
      </c>
      <c r="I322" t="s">
        <v>520</v>
      </c>
      <c r="J322" t="s">
        <v>1269</v>
      </c>
      <c r="K322" s="2">
        <v>7.3</v>
      </c>
      <c r="L322" s="3">
        <v>240475.09</v>
      </c>
      <c r="M322" t="s">
        <v>563</v>
      </c>
      <c r="N322" t="s">
        <v>150</v>
      </c>
      <c r="O322" t="s">
        <v>1264</v>
      </c>
      <c r="P322" t="str">
        <f t="shared" ref="P322:P385" si="15">TEXT(G322,"yyyy-mm")</f>
        <v>2025-03</v>
      </c>
      <c r="Q322">
        <f>IF(tblWO[[#This Row],[Status]]="Completed",1,
IF(tblWO[[#This Row],[Status]]="In Progress",2,
IF(tblWO[[#This Row],[Status]]="Planned",3,
IF(tblWO[[#This Row],[Status]]="Cancelled",4,99))))</f>
        <v>1</v>
      </c>
      <c r="R322">
        <f t="shared" ref="R322:R385" si="16">IF(D322="Preventive",1,
IF(D322="Inspection",2,
IF(D322="Corrective",3,
IF(D322="Breakdown",4,
IF(D322="Overhaul",5,99)))))</f>
        <v>3</v>
      </c>
      <c r="S322" s="6" t="str">
        <f t="shared" ref="S322:S385" si="17">TEXT(G322,"yyyy-mm")</f>
        <v>2025-03</v>
      </c>
    </row>
    <row r="323" spans="1:19">
      <c r="A323" t="s">
        <v>1270</v>
      </c>
      <c r="B323" t="s">
        <v>98</v>
      </c>
      <c r="C323" t="s">
        <v>99</v>
      </c>
      <c r="D323" t="s">
        <v>146</v>
      </c>
      <c r="E323" t="s">
        <v>37</v>
      </c>
      <c r="F323" t="s">
        <v>138</v>
      </c>
      <c r="G323" t="s">
        <v>177</v>
      </c>
      <c r="H323" t="s">
        <v>178</v>
      </c>
      <c r="I323" t="s">
        <v>178</v>
      </c>
      <c r="J323" t="s">
        <v>1271</v>
      </c>
      <c r="K323" s="2">
        <v>21.9</v>
      </c>
      <c r="L323" s="3">
        <v>156005.26</v>
      </c>
      <c r="M323" t="s">
        <v>234</v>
      </c>
      <c r="N323" t="s">
        <v>185</v>
      </c>
      <c r="O323" t="s">
        <v>1264</v>
      </c>
      <c r="P323" t="str">
        <f t="shared" si="15"/>
        <v>2025-07</v>
      </c>
      <c r="Q323">
        <f>IF(tblWO[[#This Row],[Status]]="Completed",1,
IF(tblWO[[#This Row],[Status]]="In Progress",2,
IF(tblWO[[#This Row],[Status]]="Planned",3,
IF(tblWO[[#This Row],[Status]]="Cancelled",4,99))))</f>
        <v>1</v>
      </c>
      <c r="R323">
        <f t="shared" si="16"/>
        <v>3</v>
      </c>
      <c r="S323" s="6" t="str">
        <f t="shared" si="17"/>
        <v>2025-07</v>
      </c>
    </row>
    <row r="324" spans="1:19">
      <c r="A324" t="s">
        <v>1272</v>
      </c>
      <c r="B324" t="s">
        <v>98</v>
      </c>
      <c r="C324" t="s">
        <v>99</v>
      </c>
      <c r="D324" t="s">
        <v>146</v>
      </c>
      <c r="E324" t="s">
        <v>10</v>
      </c>
      <c r="F324" t="s">
        <v>138</v>
      </c>
      <c r="G324" t="s">
        <v>1273</v>
      </c>
      <c r="H324" t="s">
        <v>1274</v>
      </c>
      <c r="I324" t="s">
        <v>1274</v>
      </c>
      <c r="J324" t="s">
        <v>1275</v>
      </c>
      <c r="K324" s="2">
        <v>9.5</v>
      </c>
      <c r="L324" s="3">
        <v>133699.49</v>
      </c>
      <c r="M324" t="s">
        <v>213</v>
      </c>
      <c r="N324" t="s">
        <v>239</v>
      </c>
      <c r="O324" t="s">
        <v>1264</v>
      </c>
      <c r="P324" t="str">
        <f t="shared" si="15"/>
        <v>2025-06</v>
      </c>
      <c r="Q324">
        <f>IF(tblWO[[#This Row],[Status]]="Completed",1,
IF(tblWO[[#This Row],[Status]]="In Progress",2,
IF(tblWO[[#This Row],[Status]]="Planned",3,
IF(tblWO[[#This Row],[Status]]="Cancelled",4,99))))</f>
        <v>1</v>
      </c>
      <c r="R324">
        <f t="shared" si="16"/>
        <v>3</v>
      </c>
      <c r="S324" s="6" t="str">
        <f t="shared" si="17"/>
        <v>2025-06</v>
      </c>
    </row>
    <row r="325" spans="1:19">
      <c r="A325" t="s">
        <v>1276</v>
      </c>
      <c r="B325" t="s">
        <v>98</v>
      </c>
      <c r="C325" t="s">
        <v>99</v>
      </c>
      <c r="D325" t="s">
        <v>169</v>
      </c>
      <c r="E325" t="s">
        <v>45</v>
      </c>
      <c r="F325" t="s">
        <v>138</v>
      </c>
      <c r="G325" t="s">
        <v>301</v>
      </c>
      <c r="H325" t="s">
        <v>302</v>
      </c>
      <c r="I325" t="s">
        <v>302</v>
      </c>
      <c r="J325" t="s">
        <v>1277</v>
      </c>
      <c r="K325" s="2">
        <v>15.5</v>
      </c>
      <c r="L325" s="3">
        <v>435050.61</v>
      </c>
      <c r="M325" t="s">
        <v>670</v>
      </c>
      <c r="N325" t="s">
        <v>162</v>
      </c>
      <c r="O325" t="s">
        <v>1278</v>
      </c>
      <c r="P325" t="str">
        <f t="shared" si="15"/>
        <v>2025-11</v>
      </c>
      <c r="Q325">
        <f>IF(tblWO[[#This Row],[Status]]="Completed",1,
IF(tblWO[[#This Row],[Status]]="In Progress",2,
IF(tblWO[[#This Row],[Status]]="Planned",3,
IF(tblWO[[#This Row],[Status]]="Cancelled",4,99))))</f>
        <v>1</v>
      </c>
      <c r="R325">
        <f t="shared" si="16"/>
        <v>4</v>
      </c>
      <c r="S325" s="6" t="str">
        <f t="shared" si="17"/>
        <v>2025-11</v>
      </c>
    </row>
    <row r="326" spans="1:19">
      <c r="A326" t="s">
        <v>1279</v>
      </c>
      <c r="B326" t="s">
        <v>98</v>
      </c>
      <c r="C326" t="s">
        <v>99</v>
      </c>
      <c r="D326" t="s">
        <v>169</v>
      </c>
      <c r="E326" t="s">
        <v>45</v>
      </c>
      <c r="F326" t="s">
        <v>138</v>
      </c>
      <c r="G326" t="s">
        <v>1280</v>
      </c>
      <c r="H326" t="s">
        <v>1281</v>
      </c>
      <c r="I326" t="s">
        <v>1281</v>
      </c>
      <c r="J326" t="s">
        <v>1282</v>
      </c>
      <c r="K326" s="2">
        <v>10.8</v>
      </c>
      <c r="L326" s="3">
        <v>733234.72</v>
      </c>
      <c r="M326" t="s">
        <v>308</v>
      </c>
      <c r="N326" t="s">
        <v>162</v>
      </c>
      <c r="O326" t="s">
        <v>1278</v>
      </c>
      <c r="P326" t="str">
        <f t="shared" si="15"/>
        <v>2025-09</v>
      </c>
      <c r="Q326">
        <f>IF(tblWO[[#This Row],[Status]]="Completed",1,
IF(tblWO[[#This Row],[Status]]="In Progress",2,
IF(tblWO[[#This Row],[Status]]="Planned",3,
IF(tblWO[[#This Row],[Status]]="Cancelled",4,99))))</f>
        <v>1</v>
      </c>
      <c r="R326">
        <f t="shared" si="16"/>
        <v>4</v>
      </c>
      <c r="S326" s="6" t="str">
        <f t="shared" si="17"/>
        <v>2025-09</v>
      </c>
    </row>
    <row r="327" spans="1:19">
      <c r="A327" t="s">
        <v>1283</v>
      </c>
      <c r="B327" t="s">
        <v>98</v>
      </c>
      <c r="C327" t="s">
        <v>99</v>
      </c>
      <c r="D327" t="s">
        <v>463</v>
      </c>
      <c r="E327" t="s">
        <v>45</v>
      </c>
      <c r="F327" t="s">
        <v>147</v>
      </c>
      <c r="G327" t="s">
        <v>941</v>
      </c>
      <c r="H327" t="s">
        <v>942</v>
      </c>
      <c r="K327" s="2">
        <v>0</v>
      </c>
      <c r="L327" s="3">
        <v>0</v>
      </c>
      <c r="N327" t="s">
        <v>342</v>
      </c>
      <c r="O327" t="s">
        <v>1284</v>
      </c>
      <c r="P327" t="str">
        <f t="shared" si="15"/>
        <v>2025-06</v>
      </c>
      <c r="Q327">
        <f>IF(tblWO[[#This Row],[Status]]="Completed",1,
IF(tblWO[[#This Row],[Status]]="In Progress",2,
IF(tblWO[[#This Row],[Status]]="Planned",3,
IF(tblWO[[#This Row],[Status]]="Cancelled",4,99))))</f>
        <v>2</v>
      </c>
      <c r="R327">
        <f t="shared" si="16"/>
        <v>5</v>
      </c>
      <c r="S327" s="6" t="str">
        <f t="shared" si="17"/>
        <v>2025-06</v>
      </c>
    </row>
    <row r="328" spans="1:19">
      <c r="A328" t="s">
        <v>1285</v>
      </c>
      <c r="B328" t="s">
        <v>98</v>
      </c>
      <c r="C328" t="s">
        <v>99</v>
      </c>
      <c r="D328" t="s">
        <v>146</v>
      </c>
      <c r="E328" t="s">
        <v>10</v>
      </c>
      <c r="F328" t="s">
        <v>138</v>
      </c>
      <c r="G328" t="s">
        <v>1286</v>
      </c>
      <c r="H328" t="s">
        <v>1287</v>
      </c>
      <c r="I328" t="s">
        <v>1287</v>
      </c>
      <c r="J328" t="s">
        <v>1288</v>
      </c>
      <c r="K328" s="2">
        <v>5.4</v>
      </c>
      <c r="L328" s="3">
        <v>204874.11</v>
      </c>
      <c r="M328" t="s">
        <v>234</v>
      </c>
      <c r="N328" t="s">
        <v>162</v>
      </c>
      <c r="O328" t="s">
        <v>1264</v>
      </c>
      <c r="P328" t="str">
        <f t="shared" si="15"/>
        <v>2025-08</v>
      </c>
      <c r="Q328">
        <f>IF(tblWO[[#This Row],[Status]]="Completed",1,
IF(tblWO[[#This Row],[Status]]="In Progress",2,
IF(tblWO[[#This Row],[Status]]="Planned",3,
IF(tblWO[[#This Row],[Status]]="Cancelled",4,99))))</f>
        <v>1</v>
      </c>
      <c r="R328">
        <f t="shared" si="16"/>
        <v>3</v>
      </c>
      <c r="S328" s="6" t="str">
        <f t="shared" si="17"/>
        <v>2025-08</v>
      </c>
    </row>
    <row r="329" spans="1:19">
      <c r="A329" t="s">
        <v>1289</v>
      </c>
      <c r="B329" t="s">
        <v>98</v>
      </c>
      <c r="C329" t="s">
        <v>99</v>
      </c>
      <c r="D329" t="s">
        <v>137</v>
      </c>
      <c r="E329" t="s">
        <v>45</v>
      </c>
      <c r="F329" t="s">
        <v>138</v>
      </c>
      <c r="G329" t="s">
        <v>1290</v>
      </c>
      <c r="H329" t="s">
        <v>1291</v>
      </c>
      <c r="I329" t="s">
        <v>1291</v>
      </c>
      <c r="J329" t="s">
        <v>1292</v>
      </c>
      <c r="K329" s="2">
        <v>2.2000000000000002</v>
      </c>
      <c r="L329" s="3">
        <v>76144.850000000006</v>
      </c>
      <c r="M329" t="s">
        <v>142</v>
      </c>
      <c r="N329" t="s">
        <v>185</v>
      </c>
      <c r="O329" t="s">
        <v>1293</v>
      </c>
      <c r="P329" t="str">
        <f t="shared" si="15"/>
        <v>2025-07</v>
      </c>
      <c r="Q329">
        <f>IF(tblWO[[#This Row],[Status]]="Completed",1,
IF(tblWO[[#This Row],[Status]]="In Progress",2,
IF(tblWO[[#This Row],[Status]]="Planned",3,
IF(tblWO[[#This Row],[Status]]="Cancelled",4,99))))</f>
        <v>1</v>
      </c>
      <c r="R329">
        <f t="shared" si="16"/>
        <v>2</v>
      </c>
      <c r="S329" s="6" t="str">
        <f t="shared" si="17"/>
        <v>2025-07</v>
      </c>
    </row>
    <row r="330" spans="1:19">
      <c r="A330" t="s">
        <v>1294</v>
      </c>
      <c r="B330" t="s">
        <v>102</v>
      </c>
      <c r="C330" t="s">
        <v>103</v>
      </c>
      <c r="D330" t="s">
        <v>146</v>
      </c>
      <c r="E330" t="s">
        <v>45</v>
      </c>
      <c r="F330" t="s">
        <v>138</v>
      </c>
      <c r="G330" t="s">
        <v>335</v>
      </c>
      <c r="H330" t="s">
        <v>336</v>
      </c>
      <c r="I330" t="s">
        <v>336</v>
      </c>
      <c r="J330" t="s">
        <v>1295</v>
      </c>
      <c r="K330" s="2">
        <v>8.1</v>
      </c>
      <c r="L330" s="3">
        <v>423224.03</v>
      </c>
      <c r="M330" t="s">
        <v>173</v>
      </c>
      <c r="N330" t="s">
        <v>342</v>
      </c>
      <c r="O330" t="s">
        <v>1296</v>
      </c>
      <c r="P330" t="str">
        <f t="shared" si="15"/>
        <v>2025-03</v>
      </c>
      <c r="Q330">
        <f>IF(tblWO[[#This Row],[Status]]="Completed",1,
IF(tblWO[[#This Row],[Status]]="In Progress",2,
IF(tblWO[[#This Row],[Status]]="Planned",3,
IF(tblWO[[#This Row],[Status]]="Cancelled",4,99))))</f>
        <v>1</v>
      </c>
      <c r="R330">
        <f t="shared" si="16"/>
        <v>3</v>
      </c>
      <c r="S330" s="6" t="str">
        <f t="shared" si="17"/>
        <v>2025-03</v>
      </c>
    </row>
    <row r="331" spans="1:19">
      <c r="A331" t="s">
        <v>1297</v>
      </c>
      <c r="B331" t="s">
        <v>102</v>
      </c>
      <c r="C331" t="s">
        <v>103</v>
      </c>
      <c r="D331" t="s">
        <v>158</v>
      </c>
      <c r="E331" t="s">
        <v>45</v>
      </c>
      <c r="F331" t="s">
        <v>138</v>
      </c>
      <c r="G331" t="s">
        <v>1145</v>
      </c>
      <c r="H331" t="s">
        <v>1146</v>
      </c>
      <c r="I331" t="s">
        <v>1146</v>
      </c>
      <c r="J331" t="s">
        <v>1298</v>
      </c>
      <c r="K331" s="2">
        <v>5.0999999999999996</v>
      </c>
      <c r="L331" s="3">
        <v>159371.51</v>
      </c>
      <c r="M331" t="s">
        <v>142</v>
      </c>
      <c r="N331" t="s">
        <v>150</v>
      </c>
      <c r="O331" t="s">
        <v>1299</v>
      </c>
      <c r="P331" t="str">
        <f t="shared" si="15"/>
        <v>2025-11</v>
      </c>
      <c r="Q331">
        <f>IF(tblWO[[#This Row],[Status]]="Completed",1,
IF(tblWO[[#This Row],[Status]]="In Progress",2,
IF(tblWO[[#This Row],[Status]]="Planned",3,
IF(tblWO[[#This Row],[Status]]="Cancelled",4,99))))</f>
        <v>1</v>
      </c>
      <c r="R331">
        <f t="shared" si="16"/>
        <v>1</v>
      </c>
      <c r="S331" s="6" t="str">
        <f t="shared" si="17"/>
        <v>2025-11</v>
      </c>
    </row>
    <row r="332" spans="1:19">
      <c r="A332" t="s">
        <v>1300</v>
      </c>
      <c r="B332" t="s">
        <v>102</v>
      </c>
      <c r="C332" t="s">
        <v>103</v>
      </c>
      <c r="D332" t="s">
        <v>158</v>
      </c>
      <c r="E332" t="s">
        <v>45</v>
      </c>
      <c r="F332" t="s">
        <v>138</v>
      </c>
      <c r="G332" t="s">
        <v>1301</v>
      </c>
      <c r="H332" t="s">
        <v>1302</v>
      </c>
      <c r="I332" t="s">
        <v>1302</v>
      </c>
      <c r="J332" t="s">
        <v>1303</v>
      </c>
      <c r="K332" s="2">
        <v>2.6</v>
      </c>
      <c r="L332" s="3">
        <v>216519.89</v>
      </c>
      <c r="M332" t="s">
        <v>142</v>
      </c>
      <c r="N332" t="s">
        <v>143</v>
      </c>
      <c r="O332" t="s">
        <v>1299</v>
      </c>
      <c r="P332" t="str">
        <f t="shared" si="15"/>
        <v>2025-02</v>
      </c>
      <c r="Q332">
        <f>IF(tblWO[[#This Row],[Status]]="Completed",1,
IF(tblWO[[#This Row],[Status]]="In Progress",2,
IF(tblWO[[#This Row],[Status]]="Planned",3,
IF(tblWO[[#This Row],[Status]]="Cancelled",4,99))))</f>
        <v>1</v>
      </c>
      <c r="R332">
        <f t="shared" si="16"/>
        <v>1</v>
      </c>
      <c r="S332" s="6" t="str">
        <f t="shared" si="17"/>
        <v>2025-02</v>
      </c>
    </row>
    <row r="333" spans="1:19">
      <c r="A333" t="s">
        <v>1304</v>
      </c>
      <c r="B333" t="s">
        <v>102</v>
      </c>
      <c r="C333" t="s">
        <v>103</v>
      </c>
      <c r="D333" t="s">
        <v>158</v>
      </c>
      <c r="E333" t="s">
        <v>45</v>
      </c>
      <c r="F333" t="s">
        <v>138</v>
      </c>
      <c r="G333" t="s">
        <v>281</v>
      </c>
      <c r="H333" t="s">
        <v>282</v>
      </c>
      <c r="I333" t="s">
        <v>282</v>
      </c>
      <c r="J333" t="s">
        <v>1305</v>
      </c>
      <c r="K333" s="2">
        <v>5.5</v>
      </c>
      <c r="L333" s="3">
        <v>179305.71</v>
      </c>
      <c r="M333" t="s">
        <v>142</v>
      </c>
      <c r="N333" t="s">
        <v>239</v>
      </c>
      <c r="O333" t="s">
        <v>1299</v>
      </c>
      <c r="P333" t="str">
        <f t="shared" si="15"/>
        <v>2025-12</v>
      </c>
      <c r="Q333">
        <f>IF(tblWO[[#This Row],[Status]]="Completed",1,
IF(tblWO[[#This Row],[Status]]="In Progress",2,
IF(tblWO[[#This Row],[Status]]="Planned",3,
IF(tblWO[[#This Row],[Status]]="Cancelled",4,99))))</f>
        <v>1</v>
      </c>
      <c r="R333">
        <f t="shared" si="16"/>
        <v>1</v>
      </c>
      <c r="S333" s="6" t="str">
        <f t="shared" si="17"/>
        <v>2025-12</v>
      </c>
    </row>
    <row r="334" spans="1:19">
      <c r="A334" t="s">
        <v>1306</v>
      </c>
      <c r="B334" t="s">
        <v>102</v>
      </c>
      <c r="C334" t="s">
        <v>103</v>
      </c>
      <c r="D334" t="s">
        <v>158</v>
      </c>
      <c r="E334" t="s">
        <v>45</v>
      </c>
      <c r="F334" t="s">
        <v>147</v>
      </c>
      <c r="G334" t="s">
        <v>364</v>
      </c>
      <c r="H334" t="s">
        <v>365</v>
      </c>
      <c r="K334" s="2">
        <v>0</v>
      </c>
      <c r="L334" s="3">
        <v>0</v>
      </c>
      <c r="N334" t="s">
        <v>185</v>
      </c>
      <c r="O334" t="s">
        <v>1299</v>
      </c>
      <c r="P334" t="str">
        <f t="shared" si="15"/>
        <v>2025-02</v>
      </c>
      <c r="Q334">
        <f>IF(tblWO[[#This Row],[Status]]="Completed",1,
IF(tblWO[[#This Row],[Status]]="In Progress",2,
IF(tblWO[[#This Row],[Status]]="Planned",3,
IF(tblWO[[#This Row],[Status]]="Cancelled",4,99))))</f>
        <v>2</v>
      </c>
      <c r="R334">
        <f t="shared" si="16"/>
        <v>1</v>
      </c>
      <c r="S334" s="6" t="str">
        <f t="shared" si="17"/>
        <v>2025-02</v>
      </c>
    </row>
    <row r="335" spans="1:19">
      <c r="A335" t="s">
        <v>1307</v>
      </c>
      <c r="B335" t="s">
        <v>102</v>
      </c>
      <c r="C335" t="s">
        <v>103</v>
      </c>
      <c r="D335" t="s">
        <v>169</v>
      </c>
      <c r="E335" t="s">
        <v>10</v>
      </c>
      <c r="F335" t="s">
        <v>138</v>
      </c>
      <c r="G335" t="s">
        <v>763</v>
      </c>
      <c r="H335" t="s">
        <v>764</v>
      </c>
      <c r="I335" t="s">
        <v>764</v>
      </c>
      <c r="J335" t="s">
        <v>1308</v>
      </c>
      <c r="K335" s="2">
        <v>36.5</v>
      </c>
      <c r="L335" s="3">
        <v>545991</v>
      </c>
      <c r="M335" t="s">
        <v>670</v>
      </c>
      <c r="N335" t="s">
        <v>185</v>
      </c>
      <c r="O335" t="s">
        <v>1309</v>
      </c>
      <c r="P335" t="str">
        <f t="shared" si="15"/>
        <v>2025-06</v>
      </c>
      <c r="Q335">
        <f>IF(tblWO[[#This Row],[Status]]="Completed",1,
IF(tblWO[[#This Row],[Status]]="In Progress",2,
IF(tblWO[[#This Row],[Status]]="Planned",3,
IF(tblWO[[#This Row],[Status]]="Cancelled",4,99))))</f>
        <v>1</v>
      </c>
      <c r="R335">
        <f t="shared" si="16"/>
        <v>4</v>
      </c>
      <c r="S335" s="6" t="str">
        <f t="shared" si="17"/>
        <v>2025-06</v>
      </c>
    </row>
    <row r="336" spans="1:19">
      <c r="A336" t="s">
        <v>1310</v>
      </c>
      <c r="B336" t="s">
        <v>102</v>
      </c>
      <c r="C336" t="s">
        <v>103</v>
      </c>
      <c r="D336" t="s">
        <v>158</v>
      </c>
      <c r="E336" t="s">
        <v>45</v>
      </c>
      <c r="F336" t="s">
        <v>138</v>
      </c>
      <c r="G336" t="s">
        <v>1311</v>
      </c>
      <c r="H336" t="s">
        <v>1312</v>
      </c>
      <c r="I336" t="s">
        <v>1312</v>
      </c>
      <c r="J336" t="s">
        <v>1313</v>
      </c>
      <c r="K336" s="2">
        <v>5.7</v>
      </c>
      <c r="L336" s="3">
        <v>113779.02</v>
      </c>
      <c r="M336" t="s">
        <v>142</v>
      </c>
      <c r="N336" t="s">
        <v>185</v>
      </c>
      <c r="O336" t="s">
        <v>1299</v>
      </c>
      <c r="P336" t="str">
        <f t="shared" si="15"/>
        <v>2025-09</v>
      </c>
      <c r="Q336">
        <f>IF(tblWO[[#This Row],[Status]]="Completed",1,
IF(tblWO[[#This Row],[Status]]="In Progress",2,
IF(tblWO[[#This Row],[Status]]="Planned",3,
IF(tblWO[[#This Row],[Status]]="Cancelled",4,99))))</f>
        <v>1</v>
      </c>
      <c r="R336">
        <f t="shared" si="16"/>
        <v>1</v>
      </c>
      <c r="S336" s="6" t="str">
        <f t="shared" si="17"/>
        <v>2025-09</v>
      </c>
    </row>
    <row r="337" spans="1:19">
      <c r="A337" t="s">
        <v>1314</v>
      </c>
      <c r="B337" t="s">
        <v>102</v>
      </c>
      <c r="C337" t="s">
        <v>103</v>
      </c>
      <c r="D337" t="s">
        <v>137</v>
      </c>
      <c r="E337" t="s">
        <v>45</v>
      </c>
      <c r="F337" t="s">
        <v>138</v>
      </c>
      <c r="G337" t="s">
        <v>523</v>
      </c>
      <c r="H337" t="s">
        <v>524</v>
      </c>
      <c r="I337" t="s">
        <v>524</v>
      </c>
      <c r="J337" t="s">
        <v>1315</v>
      </c>
      <c r="K337" s="2">
        <v>1.1000000000000001</v>
      </c>
      <c r="L337" s="3">
        <v>89034.28</v>
      </c>
      <c r="M337" t="s">
        <v>142</v>
      </c>
      <c r="N337" t="s">
        <v>150</v>
      </c>
      <c r="O337" t="s">
        <v>1316</v>
      </c>
      <c r="P337" t="str">
        <f t="shared" si="15"/>
        <v>2025-12</v>
      </c>
      <c r="Q337">
        <f>IF(tblWO[[#This Row],[Status]]="Completed",1,
IF(tblWO[[#This Row],[Status]]="In Progress",2,
IF(tblWO[[#This Row],[Status]]="Planned",3,
IF(tblWO[[#This Row],[Status]]="Cancelled",4,99))))</f>
        <v>1</v>
      </c>
      <c r="R337">
        <f t="shared" si="16"/>
        <v>2</v>
      </c>
      <c r="S337" s="6" t="str">
        <f t="shared" si="17"/>
        <v>2025-12</v>
      </c>
    </row>
    <row r="338" spans="1:19">
      <c r="A338" t="s">
        <v>1317</v>
      </c>
      <c r="B338" t="s">
        <v>105</v>
      </c>
      <c r="C338" t="s">
        <v>106</v>
      </c>
      <c r="D338" t="s">
        <v>158</v>
      </c>
      <c r="E338" t="s">
        <v>32</v>
      </c>
      <c r="F338" t="s">
        <v>138</v>
      </c>
      <c r="G338" t="s">
        <v>709</v>
      </c>
      <c r="H338" t="s">
        <v>710</v>
      </c>
      <c r="I338" t="s">
        <v>710</v>
      </c>
      <c r="J338" t="s">
        <v>1318</v>
      </c>
      <c r="K338" s="2">
        <v>2.4</v>
      </c>
      <c r="L338" s="3">
        <v>250778.87</v>
      </c>
      <c r="M338" t="s">
        <v>142</v>
      </c>
      <c r="N338" t="s">
        <v>174</v>
      </c>
      <c r="O338" t="s">
        <v>1319</v>
      </c>
      <c r="P338" t="str">
        <f t="shared" si="15"/>
        <v>2025-07</v>
      </c>
      <c r="Q338">
        <f>IF(tblWO[[#This Row],[Status]]="Completed",1,
IF(tblWO[[#This Row],[Status]]="In Progress",2,
IF(tblWO[[#This Row],[Status]]="Planned",3,
IF(tblWO[[#This Row],[Status]]="Cancelled",4,99))))</f>
        <v>1</v>
      </c>
      <c r="R338">
        <f t="shared" si="16"/>
        <v>1</v>
      </c>
      <c r="S338" s="6" t="str">
        <f t="shared" si="17"/>
        <v>2025-07</v>
      </c>
    </row>
    <row r="339" spans="1:19">
      <c r="A339" t="s">
        <v>1320</v>
      </c>
      <c r="B339" t="s">
        <v>105</v>
      </c>
      <c r="C339" t="s">
        <v>106</v>
      </c>
      <c r="D339" t="s">
        <v>158</v>
      </c>
      <c r="E339" t="s">
        <v>37</v>
      </c>
      <c r="F339" t="s">
        <v>138</v>
      </c>
      <c r="G339" t="s">
        <v>181</v>
      </c>
      <c r="H339" t="s">
        <v>182</v>
      </c>
      <c r="I339" t="s">
        <v>182</v>
      </c>
      <c r="J339" t="s">
        <v>1321</v>
      </c>
      <c r="K339" s="2">
        <v>2.8</v>
      </c>
      <c r="L339" s="3">
        <v>143202.04</v>
      </c>
      <c r="M339" t="s">
        <v>142</v>
      </c>
      <c r="N339" t="s">
        <v>162</v>
      </c>
      <c r="O339" t="s">
        <v>1319</v>
      </c>
      <c r="P339" t="str">
        <f t="shared" si="15"/>
        <v>2025-04</v>
      </c>
      <c r="Q339">
        <f>IF(tblWO[[#This Row],[Status]]="Completed",1,
IF(tblWO[[#This Row],[Status]]="In Progress",2,
IF(tblWO[[#This Row],[Status]]="Planned",3,
IF(tblWO[[#This Row],[Status]]="Cancelled",4,99))))</f>
        <v>1</v>
      </c>
      <c r="R339">
        <f t="shared" si="16"/>
        <v>1</v>
      </c>
      <c r="S339" s="6" t="str">
        <f t="shared" si="17"/>
        <v>2025-04</v>
      </c>
    </row>
    <row r="340" spans="1:19">
      <c r="A340" t="s">
        <v>1322</v>
      </c>
      <c r="B340" t="s">
        <v>105</v>
      </c>
      <c r="C340" t="s">
        <v>106</v>
      </c>
      <c r="D340" t="s">
        <v>158</v>
      </c>
      <c r="E340" t="s">
        <v>10</v>
      </c>
      <c r="F340" t="s">
        <v>202</v>
      </c>
      <c r="G340" t="s">
        <v>1323</v>
      </c>
      <c r="H340" t="s">
        <v>1324</v>
      </c>
      <c r="K340" s="2">
        <v>0</v>
      </c>
      <c r="L340" s="3">
        <v>0</v>
      </c>
      <c r="N340" t="s">
        <v>156</v>
      </c>
      <c r="O340" t="s">
        <v>1319</v>
      </c>
      <c r="P340" t="str">
        <f t="shared" si="15"/>
        <v>2025-09</v>
      </c>
      <c r="Q340">
        <f>IF(tblWO[[#This Row],[Status]]="Completed",1,
IF(tblWO[[#This Row],[Status]]="In Progress",2,
IF(tblWO[[#This Row],[Status]]="Planned",3,
IF(tblWO[[#This Row],[Status]]="Cancelled",4,99))))</f>
        <v>3</v>
      </c>
      <c r="R340">
        <f t="shared" si="16"/>
        <v>1</v>
      </c>
      <c r="S340" s="6" t="str">
        <f t="shared" si="17"/>
        <v>2025-09</v>
      </c>
    </row>
    <row r="341" spans="1:19">
      <c r="A341" t="s">
        <v>1325</v>
      </c>
      <c r="B341" t="s">
        <v>105</v>
      </c>
      <c r="C341" t="s">
        <v>106</v>
      </c>
      <c r="D341" t="s">
        <v>137</v>
      </c>
      <c r="E341" t="s">
        <v>10</v>
      </c>
      <c r="F341" t="s">
        <v>138</v>
      </c>
      <c r="G341" t="s">
        <v>1326</v>
      </c>
      <c r="H341" t="s">
        <v>1327</v>
      </c>
      <c r="I341" t="s">
        <v>1327</v>
      </c>
      <c r="J341" t="s">
        <v>1328</v>
      </c>
      <c r="K341" s="2">
        <v>1.6</v>
      </c>
      <c r="L341" s="3">
        <v>65104.54</v>
      </c>
      <c r="M341" t="s">
        <v>142</v>
      </c>
      <c r="N341" t="s">
        <v>239</v>
      </c>
      <c r="O341" t="s">
        <v>1329</v>
      </c>
      <c r="P341" t="str">
        <f t="shared" si="15"/>
        <v>2025-05</v>
      </c>
      <c r="Q341">
        <f>IF(tblWO[[#This Row],[Status]]="Completed",1,
IF(tblWO[[#This Row],[Status]]="In Progress",2,
IF(tblWO[[#This Row],[Status]]="Planned",3,
IF(tblWO[[#This Row],[Status]]="Cancelled",4,99))))</f>
        <v>1</v>
      </c>
      <c r="R341">
        <f t="shared" si="16"/>
        <v>2</v>
      </c>
      <c r="S341" s="6" t="str">
        <f t="shared" si="17"/>
        <v>2025-05</v>
      </c>
    </row>
    <row r="342" spans="1:19">
      <c r="A342" t="s">
        <v>1330</v>
      </c>
      <c r="B342" t="s">
        <v>105</v>
      </c>
      <c r="C342" t="s">
        <v>106</v>
      </c>
      <c r="D342" t="s">
        <v>169</v>
      </c>
      <c r="E342" t="s">
        <v>32</v>
      </c>
      <c r="F342" t="s">
        <v>202</v>
      </c>
      <c r="G342" t="s">
        <v>583</v>
      </c>
      <c r="H342" t="s">
        <v>584</v>
      </c>
      <c r="K342" s="2">
        <v>0</v>
      </c>
      <c r="L342" s="3">
        <v>0</v>
      </c>
      <c r="N342" t="s">
        <v>150</v>
      </c>
      <c r="O342" t="s">
        <v>1331</v>
      </c>
      <c r="P342" t="str">
        <f t="shared" si="15"/>
        <v>2025-08</v>
      </c>
      <c r="Q342">
        <f>IF(tblWO[[#This Row],[Status]]="Completed",1,
IF(tblWO[[#This Row],[Status]]="In Progress",2,
IF(tblWO[[#This Row],[Status]]="Planned",3,
IF(tblWO[[#This Row],[Status]]="Cancelled",4,99))))</f>
        <v>3</v>
      </c>
      <c r="R342">
        <f t="shared" si="16"/>
        <v>4</v>
      </c>
      <c r="S342" s="6" t="str">
        <f t="shared" si="17"/>
        <v>2025-08</v>
      </c>
    </row>
    <row r="343" spans="1:19">
      <c r="A343" t="s">
        <v>1332</v>
      </c>
      <c r="B343" t="s">
        <v>105</v>
      </c>
      <c r="C343" t="s">
        <v>106</v>
      </c>
      <c r="D343" t="s">
        <v>169</v>
      </c>
      <c r="E343" t="s">
        <v>10</v>
      </c>
      <c r="F343" t="s">
        <v>202</v>
      </c>
      <c r="G343" t="s">
        <v>1333</v>
      </c>
      <c r="H343" t="s">
        <v>1334</v>
      </c>
      <c r="K343" s="2">
        <v>0</v>
      </c>
      <c r="L343" s="3">
        <v>0</v>
      </c>
      <c r="N343" t="s">
        <v>342</v>
      </c>
      <c r="O343" t="s">
        <v>1331</v>
      </c>
      <c r="P343" t="str">
        <f t="shared" si="15"/>
        <v>2025-04</v>
      </c>
      <c r="Q343">
        <f>IF(tblWO[[#This Row],[Status]]="Completed",1,
IF(tblWO[[#This Row],[Status]]="In Progress",2,
IF(tblWO[[#This Row],[Status]]="Planned",3,
IF(tblWO[[#This Row],[Status]]="Cancelled",4,99))))</f>
        <v>3</v>
      </c>
      <c r="R343">
        <f t="shared" si="16"/>
        <v>4</v>
      </c>
      <c r="S343" s="6" t="str">
        <f t="shared" si="17"/>
        <v>2025-04</v>
      </c>
    </row>
    <row r="344" spans="1:19">
      <c r="A344" t="s">
        <v>1335</v>
      </c>
      <c r="B344" t="s">
        <v>105</v>
      </c>
      <c r="C344" t="s">
        <v>106</v>
      </c>
      <c r="D344" t="s">
        <v>146</v>
      </c>
      <c r="E344" t="s">
        <v>45</v>
      </c>
      <c r="F344" t="s">
        <v>138</v>
      </c>
      <c r="G344" t="s">
        <v>896</v>
      </c>
      <c r="H344" t="s">
        <v>897</v>
      </c>
      <c r="I344" t="s">
        <v>897</v>
      </c>
      <c r="J344" t="s">
        <v>1336</v>
      </c>
      <c r="K344" s="2">
        <v>21</v>
      </c>
      <c r="L344" s="3">
        <v>390886.02</v>
      </c>
      <c r="M344" t="s">
        <v>142</v>
      </c>
      <c r="N344" t="s">
        <v>185</v>
      </c>
      <c r="O344" t="s">
        <v>1337</v>
      </c>
      <c r="P344" t="str">
        <f t="shared" si="15"/>
        <v>2024-12</v>
      </c>
      <c r="Q344">
        <f>IF(tblWO[[#This Row],[Status]]="Completed",1,
IF(tblWO[[#This Row],[Status]]="In Progress",2,
IF(tblWO[[#This Row],[Status]]="Planned",3,
IF(tblWO[[#This Row],[Status]]="Cancelled",4,99))))</f>
        <v>1</v>
      </c>
      <c r="R344">
        <f t="shared" si="16"/>
        <v>3</v>
      </c>
      <c r="S344" s="6" t="str">
        <f t="shared" si="17"/>
        <v>2024-12</v>
      </c>
    </row>
    <row r="345" spans="1:19">
      <c r="A345" t="s">
        <v>1338</v>
      </c>
      <c r="B345" t="s">
        <v>105</v>
      </c>
      <c r="C345" t="s">
        <v>106</v>
      </c>
      <c r="D345" t="s">
        <v>158</v>
      </c>
      <c r="E345" t="s">
        <v>32</v>
      </c>
      <c r="F345" t="s">
        <v>202</v>
      </c>
      <c r="G345" t="s">
        <v>257</v>
      </c>
      <c r="H345" t="s">
        <v>258</v>
      </c>
      <c r="K345" s="2">
        <v>0</v>
      </c>
      <c r="L345" s="3">
        <v>0</v>
      </c>
      <c r="N345" t="s">
        <v>143</v>
      </c>
      <c r="O345" t="s">
        <v>1319</v>
      </c>
      <c r="P345" t="str">
        <f t="shared" si="15"/>
        <v>2025-04</v>
      </c>
      <c r="Q345">
        <f>IF(tblWO[[#This Row],[Status]]="Completed",1,
IF(tblWO[[#This Row],[Status]]="In Progress",2,
IF(tblWO[[#This Row],[Status]]="Planned",3,
IF(tblWO[[#This Row],[Status]]="Cancelled",4,99))))</f>
        <v>3</v>
      </c>
      <c r="R345">
        <f t="shared" si="16"/>
        <v>1</v>
      </c>
      <c r="S345" s="6" t="str">
        <f t="shared" si="17"/>
        <v>2025-04</v>
      </c>
    </row>
    <row r="346" spans="1:19">
      <c r="A346" t="s">
        <v>1339</v>
      </c>
      <c r="B346" t="s">
        <v>105</v>
      </c>
      <c r="C346" t="s">
        <v>106</v>
      </c>
      <c r="D346" t="s">
        <v>169</v>
      </c>
      <c r="E346" t="s">
        <v>45</v>
      </c>
      <c r="F346" t="s">
        <v>147</v>
      </c>
      <c r="G346" t="s">
        <v>785</v>
      </c>
      <c r="H346" t="s">
        <v>786</v>
      </c>
      <c r="K346" s="2">
        <v>0</v>
      </c>
      <c r="L346" s="3">
        <v>0</v>
      </c>
      <c r="N346" t="s">
        <v>342</v>
      </c>
      <c r="O346" t="s">
        <v>1331</v>
      </c>
      <c r="P346" t="str">
        <f t="shared" si="15"/>
        <v>2025-01</v>
      </c>
      <c r="Q346">
        <f>IF(tblWO[[#This Row],[Status]]="Completed",1,
IF(tblWO[[#This Row],[Status]]="In Progress",2,
IF(tblWO[[#This Row],[Status]]="Planned",3,
IF(tblWO[[#This Row],[Status]]="Cancelled",4,99))))</f>
        <v>2</v>
      </c>
      <c r="R346">
        <f t="shared" si="16"/>
        <v>4</v>
      </c>
      <c r="S346" s="6" t="str">
        <f t="shared" si="17"/>
        <v>2025-01</v>
      </c>
    </row>
    <row r="347" spans="1:19">
      <c r="A347" t="s">
        <v>1340</v>
      </c>
      <c r="B347" t="s">
        <v>105</v>
      </c>
      <c r="C347" t="s">
        <v>106</v>
      </c>
      <c r="D347" t="s">
        <v>158</v>
      </c>
      <c r="E347" t="s">
        <v>45</v>
      </c>
      <c r="F347" t="s">
        <v>138</v>
      </c>
      <c r="G347" t="s">
        <v>398</v>
      </c>
      <c r="H347" t="s">
        <v>399</v>
      </c>
      <c r="I347" t="s">
        <v>399</v>
      </c>
      <c r="J347" t="s">
        <v>1341</v>
      </c>
      <c r="K347" s="2">
        <v>5.9</v>
      </c>
      <c r="L347" s="3">
        <v>197973.94</v>
      </c>
      <c r="M347" t="s">
        <v>142</v>
      </c>
      <c r="N347" t="s">
        <v>162</v>
      </c>
      <c r="O347" t="s">
        <v>1319</v>
      </c>
      <c r="P347" t="str">
        <f t="shared" si="15"/>
        <v>2025-02</v>
      </c>
      <c r="Q347">
        <f>IF(tblWO[[#This Row],[Status]]="Completed",1,
IF(tblWO[[#This Row],[Status]]="In Progress",2,
IF(tblWO[[#This Row],[Status]]="Planned",3,
IF(tblWO[[#This Row],[Status]]="Cancelled",4,99))))</f>
        <v>1</v>
      </c>
      <c r="R347">
        <f t="shared" si="16"/>
        <v>1</v>
      </c>
      <c r="S347" s="6" t="str">
        <f t="shared" si="17"/>
        <v>2025-02</v>
      </c>
    </row>
    <row r="348" spans="1:19">
      <c r="A348" t="s">
        <v>1342</v>
      </c>
      <c r="B348" t="s">
        <v>108</v>
      </c>
      <c r="C348" t="s">
        <v>109</v>
      </c>
      <c r="D348" t="s">
        <v>146</v>
      </c>
      <c r="E348" t="s">
        <v>32</v>
      </c>
      <c r="F348" t="s">
        <v>147</v>
      </c>
      <c r="G348" t="s">
        <v>257</v>
      </c>
      <c r="H348" t="s">
        <v>258</v>
      </c>
      <c r="K348" s="2">
        <v>0</v>
      </c>
      <c r="L348" s="3">
        <v>0</v>
      </c>
      <c r="N348" t="s">
        <v>174</v>
      </c>
      <c r="O348" t="s">
        <v>1343</v>
      </c>
      <c r="P348" t="str">
        <f t="shared" si="15"/>
        <v>2025-04</v>
      </c>
      <c r="Q348">
        <f>IF(tblWO[[#This Row],[Status]]="Completed",1,
IF(tblWO[[#This Row],[Status]]="In Progress",2,
IF(tblWO[[#This Row],[Status]]="Planned",3,
IF(tblWO[[#This Row],[Status]]="Cancelled",4,99))))</f>
        <v>2</v>
      </c>
      <c r="R348">
        <f t="shared" si="16"/>
        <v>3</v>
      </c>
      <c r="S348" s="6" t="str">
        <f t="shared" si="17"/>
        <v>2025-04</v>
      </c>
    </row>
    <row r="349" spans="1:19">
      <c r="A349" t="s">
        <v>1344</v>
      </c>
      <c r="B349" t="s">
        <v>108</v>
      </c>
      <c r="C349" t="s">
        <v>109</v>
      </c>
      <c r="D349" t="s">
        <v>169</v>
      </c>
      <c r="E349" t="s">
        <v>32</v>
      </c>
      <c r="F349" t="s">
        <v>138</v>
      </c>
      <c r="G349" t="s">
        <v>941</v>
      </c>
      <c r="H349" t="s">
        <v>942</v>
      </c>
      <c r="I349" t="s">
        <v>942</v>
      </c>
      <c r="J349" t="s">
        <v>1345</v>
      </c>
      <c r="K349" s="2">
        <v>13.4</v>
      </c>
      <c r="L349" s="3">
        <v>662087.97</v>
      </c>
      <c r="M349" t="s">
        <v>249</v>
      </c>
      <c r="N349" t="s">
        <v>185</v>
      </c>
      <c r="O349" t="s">
        <v>1346</v>
      </c>
      <c r="P349" t="str">
        <f t="shared" si="15"/>
        <v>2025-06</v>
      </c>
      <c r="Q349">
        <f>IF(tblWO[[#This Row],[Status]]="Completed",1,
IF(tblWO[[#This Row],[Status]]="In Progress",2,
IF(tblWO[[#This Row],[Status]]="Planned",3,
IF(tblWO[[#This Row],[Status]]="Cancelled",4,99))))</f>
        <v>1</v>
      </c>
      <c r="R349">
        <f t="shared" si="16"/>
        <v>4</v>
      </c>
      <c r="S349" s="6" t="str">
        <f t="shared" si="17"/>
        <v>2025-06</v>
      </c>
    </row>
    <row r="350" spans="1:19">
      <c r="A350" t="s">
        <v>1347</v>
      </c>
      <c r="B350" t="s">
        <v>108</v>
      </c>
      <c r="C350" t="s">
        <v>109</v>
      </c>
      <c r="D350" t="s">
        <v>158</v>
      </c>
      <c r="E350" t="s">
        <v>10</v>
      </c>
      <c r="F350" t="s">
        <v>138</v>
      </c>
      <c r="G350" t="s">
        <v>148</v>
      </c>
      <c r="H350" t="s">
        <v>149</v>
      </c>
      <c r="I350" t="s">
        <v>149</v>
      </c>
      <c r="J350" t="s">
        <v>1348</v>
      </c>
      <c r="K350" s="2">
        <v>5.6</v>
      </c>
      <c r="L350" s="3">
        <v>242584.19</v>
      </c>
      <c r="M350" t="s">
        <v>142</v>
      </c>
      <c r="N350" t="s">
        <v>156</v>
      </c>
      <c r="O350" t="s">
        <v>1349</v>
      </c>
      <c r="P350" t="str">
        <f t="shared" si="15"/>
        <v>2025-03</v>
      </c>
      <c r="Q350">
        <f>IF(tblWO[[#This Row],[Status]]="Completed",1,
IF(tblWO[[#This Row],[Status]]="In Progress",2,
IF(tblWO[[#This Row],[Status]]="Planned",3,
IF(tblWO[[#This Row],[Status]]="Cancelled",4,99))))</f>
        <v>1</v>
      </c>
      <c r="R350">
        <f t="shared" si="16"/>
        <v>1</v>
      </c>
      <c r="S350" s="6" t="str">
        <f t="shared" si="17"/>
        <v>2025-03</v>
      </c>
    </row>
    <row r="351" spans="1:19">
      <c r="A351" t="s">
        <v>1350</v>
      </c>
      <c r="B351" t="s">
        <v>108</v>
      </c>
      <c r="C351" t="s">
        <v>109</v>
      </c>
      <c r="D351" t="s">
        <v>158</v>
      </c>
      <c r="E351" t="s">
        <v>32</v>
      </c>
      <c r="F351" t="s">
        <v>138</v>
      </c>
      <c r="G351" t="s">
        <v>617</v>
      </c>
      <c r="H351" t="s">
        <v>618</v>
      </c>
      <c r="I351" t="s">
        <v>618</v>
      </c>
      <c r="J351" t="s">
        <v>1351</v>
      </c>
      <c r="K351" s="2">
        <v>5</v>
      </c>
      <c r="L351" s="3">
        <v>226176.2</v>
      </c>
      <c r="M351" t="s">
        <v>142</v>
      </c>
      <c r="N351" t="s">
        <v>162</v>
      </c>
      <c r="O351" t="s">
        <v>1349</v>
      </c>
      <c r="P351" t="str">
        <f t="shared" si="15"/>
        <v>2025-05</v>
      </c>
      <c r="Q351">
        <f>IF(tblWO[[#This Row],[Status]]="Completed",1,
IF(tblWO[[#This Row],[Status]]="In Progress",2,
IF(tblWO[[#This Row],[Status]]="Planned",3,
IF(tblWO[[#This Row],[Status]]="Cancelled",4,99))))</f>
        <v>1</v>
      </c>
      <c r="R351">
        <f t="shared" si="16"/>
        <v>1</v>
      </c>
      <c r="S351" s="6" t="str">
        <f t="shared" si="17"/>
        <v>2025-05</v>
      </c>
    </row>
    <row r="352" spans="1:19">
      <c r="A352" t="s">
        <v>1352</v>
      </c>
      <c r="B352" t="s">
        <v>108</v>
      </c>
      <c r="C352" t="s">
        <v>109</v>
      </c>
      <c r="D352" t="s">
        <v>158</v>
      </c>
      <c r="E352" t="s">
        <v>32</v>
      </c>
      <c r="F352" t="s">
        <v>138</v>
      </c>
      <c r="G352" t="s">
        <v>673</v>
      </c>
      <c r="H352" t="s">
        <v>674</v>
      </c>
      <c r="I352" t="s">
        <v>674</v>
      </c>
      <c r="J352" t="s">
        <v>1353</v>
      </c>
      <c r="K352" s="2">
        <v>6</v>
      </c>
      <c r="L352" s="3">
        <v>62237.65</v>
      </c>
      <c r="M352" t="s">
        <v>142</v>
      </c>
      <c r="N352" t="s">
        <v>239</v>
      </c>
      <c r="O352" t="s">
        <v>1349</v>
      </c>
      <c r="P352" t="str">
        <f t="shared" si="15"/>
        <v>2025-06</v>
      </c>
      <c r="Q352">
        <f>IF(tblWO[[#This Row],[Status]]="Completed",1,
IF(tblWO[[#This Row],[Status]]="In Progress",2,
IF(tblWO[[#This Row],[Status]]="Planned",3,
IF(tblWO[[#This Row],[Status]]="Cancelled",4,99))))</f>
        <v>1</v>
      </c>
      <c r="R352">
        <f t="shared" si="16"/>
        <v>1</v>
      </c>
      <c r="S352" s="6" t="str">
        <f t="shared" si="17"/>
        <v>2025-06</v>
      </c>
    </row>
    <row r="353" spans="1:19">
      <c r="A353" t="s">
        <v>1354</v>
      </c>
      <c r="B353" t="s">
        <v>108</v>
      </c>
      <c r="C353" t="s">
        <v>109</v>
      </c>
      <c r="D353" t="s">
        <v>158</v>
      </c>
      <c r="E353" t="s">
        <v>45</v>
      </c>
      <c r="F353" t="s">
        <v>138</v>
      </c>
      <c r="G353" t="s">
        <v>979</v>
      </c>
      <c r="H353" t="s">
        <v>980</v>
      </c>
      <c r="I353" t="s">
        <v>980</v>
      </c>
      <c r="J353" t="s">
        <v>1355</v>
      </c>
      <c r="K353" s="2">
        <v>9.5</v>
      </c>
      <c r="L353" s="3">
        <v>112463.16</v>
      </c>
      <c r="M353" t="s">
        <v>142</v>
      </c>
      <c r="N353" t="s">
        <v>156</v>
      </c>
      <c r="O353" t="s">
        <v>1349</v>
      </c>
      <c r="P353" t="str">
        <f t="shared" si="15"/>
        <v>2025-03</v>
      </c>
      <c r="Q353">
        <f>IF(tblWO[[#This Row],[Status]]="Completed",1,
IF(tblWO[[#This Row],[Status]]="In Progress",2,
IF(tblWO[[#This Row],[Status]]="Planned",3,
IF(tblWO[[#This Row],[Status]]="Cancelled",4,99))))</f>
        <v>1</v>
      </c>
      <c r="R353">
        <f t="shared" si="16"/>
        <v>1</v>
      </c>
      <c r="S353" s="6" t="str">
        <f t="shared" si="17"/>
        <v>2025-03</v>
      </c>
    </row>
    <row r="354" spans="1:19">
      <c r="A354" t="s">
        <v>1356</v>
      </c>
      <c r="B354" t="s">
        <v>108</v>
      </c>
      <c r="C354" t="s">
        <v>109</v>
      </c>
      <c r="D354" t="s">
        <v>158</v>
      </c>
      <c r="E354" t="s">
        <v>45</v>
      </c>
      <c r="F354" t="s">
        <v>138</v>
      </c>
      <c r="G354" t="s">
        <v>984</v>
      </c>
      <c r="H354" t="s">
        <v>985</v>
      </c>
      <c r="I354" t="s">
        <v>985</v>
      </c>
      <c r="J354" t="s">
        <v>1357</v>
      </c>
      <c r="K354" s="2">
        <v>4.2</v>
      </c>
      <c r="L354" s="3">
        <v>99533.26</v>
      </c>
      <c r="M354" t="s">
        <v>142</v>
      </c>
      <c r="N354" t="s">
        <v>174</v>
      </c>
      <c r="O354" t="s">
        <v>1349</v>
      </c>
      <c r="P354" t="str">
        <f t="shared" si="15"/>
        <v>2025-03</v>
      </c>
      <c r="Q354">
        <f>IF(tblWO[[#This Row],[Status]]="Completed",1,
IF(tblWO[[#This Row],[Status]]="In Progress",2,
IF(tblWO[[#This Row],[Status]]="Planned",3,
IF(tblWO[[#This Row],[Status]]="Cancelled",4,99))))</f>
        <v>1</v>
      </c>
      <c r="R354">
        <f t="shared" si="16"/>
        <v>1</v>
      </c>
      <c r="S354" s="6" t="str">
        <f t="shared" si="17"/>
        <v>2025-03</v>
      </c>
    </row>
    <row r="355" spans="1:19">
      <c r="A355" t="s">
        <v>1358</v>
      </c>
      <c r="B355" t="s">
        <v>108</v>
      </c>
      <c r="C355" t="s">
        <v>109</v>
      </c>
      <c r="D355" t="s">
        <v>158</v>
      </c>
      <c r="E355" t="s">
        <v>45</v>
      </c>
      <c r="F355" t="s">
        <v>138</v>
      </c>
      <c r="G355" t="s">
        <v>310</v>
      </c>
      <c r="H355" t="s">
        <v>311</v>
      </c>
      <c r="I355" t="s">
        <v>311</v>
      </c>
      <c r="J355" t="s">
        <v>1359</v>
      </c>
      <c r="K355" s="2">
        <v>11.2</v>
      </c>
      <c r="L355" s="3">
        <v>68746.8</v>
      </c>
      <c r="M355" t="s">
        <v>142</v>
      </c>
      <c r="N355" t="s">
        <v>185</v>
      </c>
      <c r="O355" t="s">
        <v>1349</v>
      </c>
      <c r="P355" t="str">
        <f t="shared" si="15"/>
        <v>2025-11</v>
      </c>
      <c r="Q355">
        <f>IF(tblWO[[#This Row],[Status]]="Completed",1,
IF(tblWO[[#This Row],[Status]]="In Progress",2,
IF(tblWO[[#This Row],[Status]]="Planned",3,
IF(tblWO[[#This Row],[Status]]="Cancelled",4,99))))</f>
        <v>1</v>
      </c>
      <c r="R355">
        <f t="shared" si="16"/>
        <v>1</v>
      </c>
      <c r="S355" s="6" t="str">
        <f t="shared" si="17"/>
        <v>2025-11</v>
      </c>
    </row>
    <row r="356" spans="1:19">
      <c r="A356" t="s">
        <v>1360</v>
      </c>
      <c r="B356" t="s">
        <v>108</v>
      </c>
      <c r="C356" t="s">
        <v>109</v>
      </c>
      <c r="D356" t="s">
        <v>158</v>
      </c>
      <c r="E356" t="s">
        <v>32</v>
      </c>
      <c r="F356" t="s">
        <v>138</v>
      </c>
      <c r="G356" t="s">
        <v>560</v>
      </c>
      <c r="H356" t="s">
        <v>561</v>
      </c>
      <c r="I356" t="s">
        <v>561</v>
      </c>
      <c r="J356" t="s">
        <v>1361</v>
      </c>
      <c r="K356" s="2">
        <v>10.3</v>
      </c>
      <c r="L356" s="3">
        <v>132887.47</v>
      </c>
      <c r="M356" t="s">
        <v>142</v>
      </c>
      <c r="N356" t="s">
        <v>162</v>
      </c>
      <c r="O356" t="s">
        <v>1349</v>
      </c>
      <c r="P356" t="str">
        <f t="shared" si="15"/>
        <v>2025-11</v>
      </c>
      <c r="Q356">
        <f>IF(tblWO[[#This Row],[Status]]="Completed",1,
IF(tblWO[[#This Row],[Status]]="In Progress",2,
IF(tblWO[[#This Row],[Status]]="Planned",3,
IF(tblWO[[#This Row],[Status]]="Cancelled",4,99))))</f>
        <v>1</v>
      </c>
      <c r="R356">
        <f t="shared" si="16"/>
        <v>1</v>
      </c>
      <c r="S356" s="6" t="str">
        <f t="shared" si="17"/>
        <v>2025-11</v>
      </c>
    </row>
    <row r="357" spans="1:19">
      <c r="A357" t="s">
        <v>1362</v>
      </c>
      <c r="B357" t="s">
        <v>108</v>
      </c>
      <c r="C357" t="s">
        <v>109</v>
      </c>
      <c r="D357" t="s">
        <v>137</v>
      </c>
      <c r="E357" t="s">
        <v>32</v>
      </c>
      <c r="F357" t="s">
        <v>138</v>
      </c>
      <c r="G357" t="s">
        <v>1363</v>
      </c>
      <c r="H357" t="s">
        <v>1364</v>
      </c>
      <c r="I357" t="s">
        <v>1364</v>
      </c>
      <c r="J357" t="s">
        <v>1365</v>
      </c>
      <c r="K357" s="2">
        <v>2.2000000000000002</v>
      </c>
      <c r="L357" s="3">
        <v>22358.58</v>
      </c>
      <c r="M357" t="s">
        <v>142</v>
      </c>
      <c r="N357" t="s">
        <v>174</v>
      </c>
      <c r="O357" t="s">
        <v>1366</v>
      </c>
      <c r="P357" t="str">
        <f t="shared" si="15"/>
        <v>2025-01</v>
      </c>
      <c r="Q357">
        <f>IF(tblWO[[#This Row],[Status]]="Completed",1,
IF(tblWO[[#This Row],[Status]]="In Progress",2,
IF(tblWO[[#This Row],[Status]]="Planned",3,
IF(tblWO[[#This Row],[Status]]="Cancelled",4,99))))</f>
        <v>1</v>
      </c>
      <c r="R357">
        <f t="shared" si="16"/>
        <v>2</v>
      </c>
      <c r="S357" s="6" t="str">
        <f t="shared" si="17"/>
        <v>2025-01</v>
      </c>
    </row>
    <row r="358" spans="1:19">
      <c r="A358" t="s">
        <v>1367</v>
      </c>
      <c r="B358" t="s">
        <v>108</v>
      </c>
      <c r="C358" t="s">
        <v>109</v>
      </c>
      <c r="D358" t="s">
        <v>158</v>
      </c>
      <c r="E358" t="s">
        <v>45</v>
      </c>
      <c r="F358" t="s">
        <v>138</v>
      </c>
      <c r="G358" t="s">
        <v>1368</v>
      </c>
      <c r="H358" t="s">
        <v>1369</v>
      </c>
      <c r="I358" t="s">
        <v>1369</v>
      </c>
      <c r="J358" t="s">
        <v>1370</v>
      </c>
      <c r="K358" s="2">
        <v>3.5</v>
      </c>
      <c r="L358" s="3">
        <v>203526.64</v>
      </c>
      <c r="M358" t="s">
        <v>142</v>
      </c>
      <c r="N358" t="s">
        <v>150</v>
      </c>
      <c r="O358" t="s">
        <v>1349</v>
      </c>
      <c r="P358" t="str">
        <f t="shared" si="15"/>
        <v>2025-04</v>
      </c>
      <c r="Q358">
        <f>IF(tblWO[[#This Row],[Status]]="Completed",1,
IF(tblWO[[#This Row],[Status]]="In Progress",2,
IF(tblWO[[#This Row],[Status]]="Planned",3,
IF(tblWO[[#This Row],[Status]]="Cancelled",4,99))))</f>
        <v>1</v>
      </c>
      <c r="R358">
        <f t="shared" si="16"/>
        <v>1</v>
      </c>
      <c r="S358" s="6" t="str">
        <f t="shared" si="17"/>
        <v>2025-04</v>
      </c>
    </row>
    <row r="359" spans="1:19">
      <c r="A359" t="s">
        <v>1371</v>
      </c>
      <c r="B359" t="s">
        <v>108</v>
      </c>
      <c r="C359" t="s">
        <v>109</v>
      </c>
      <c r="D359" t="s">
        <v>146</v>
      </c>
      <c r="E359" t="s">
        <v>10</v>
      </c>
      <c r="F359" t="s">
        <v>138</v>
      </c>
      <c r="G359" t="s">
        <v>177</v>
      </c>
      <c r="H359" t="s">
        <v>178</v>
      </c>
      <c r="I359" t="s">
        <v>178</v>
      </c>
      <c r="J359" t="s">
        <v>1372</v>
      </c>
      <c r="K359" s="2">
        <v>11.7</v>
      </c>
      <c r="L359" s="3">
        <v>267693.93</v>
      </c>
      <c r="M359" t="s">
        <v>328</v>
      </c>
      <c r="N359" t="s">
        <v>150</v>
      </c>
      <c r="O359" t="s">
        <v>1343</v>
      </c>
      <c r="P359" t="str">
        <f t="shared" si="15"/>
        <v>2025-07</v>
      </c>
      <c r="Q359">
        <f>IF(tblWO[[#This Row],[Status]]="Completed",1,
IF(tblWO[[#This Row],[Status]]="In Progress",2,
IF(tblWO[[#This Row],[Status]]="Planned",3,
IF(tblWO[[#This Row],[Status]]="Cancelled",4,99))))</f>
        <v>1</v>
      </c>
      <c r="R359">
        <f t="shared" si="16"/>
        <v>3</v>
      </c>
      <c r="S359" s="6" t="str">
        <f t="shared" si="17"/>
        <v>2025-07</v>
      </c>
    </row>
    <row r="360" spans="1:19">
      <c r="A360" t="s">
        <v>1373</v>
      </c>
      <c r="B360" t="s">
        <v>108</v>
      </c>
      <c r="C360" t="s">
        <v>109</v>
      </c>
      <c r="D360" t="s">
        <v>146</v>
      </c>
      <c r="E360" t="s">
        <v>37</v>
      </c>
      <c r="F360" t="s">
        <v>138</v>
      </c>
      <c r="G360" t="s">
        <v>1374</v>
      </c>
      <c r="H360" t="s">
        <v>1375</v>
      </c>
      <c r="I360" t="s">
        <v>1375</v>
      </c>
      <c r="J360" t="s">
        <v>1376</v>
      </c>
      <c r="K360" s="2">
        <v>14.9</v>
      </c>
      <c r="L360" s="3">
        <v>293871.78999999998</v>
      </c>
      <c r="M360" t="s">
        <v>390</v>
      </c>
      <c r="N360" t="s">
        <v>342</v>
      </c>
      <c r="O360" t="s">
        <v>1343</v>
      </c>
      <c r="P360" t="str">
        <f t="shared" si="15"/>
        <v>2024-12</v>
      </c>
      <c r="Q360">
        <f>IF(tblWO[[#This Row],[Status]]="Completed",1,
IF(tblWO[[#This Row],[Status]]="In Progress",2,
IF(tblWO[[#This Row],[Status]]="Planned",3,
IF(tblWO[[#This Row],[Status]]="Cancelled",4,99))))</f>
        <v>1</v>
      </c>
      <c r="R360">
        <f t="shared" si="16"/>
        <v>3</v>
      </c>
      <c r="S360" s="6" t="str">
        <f t="shared" si="17"/>
        <v>2024-12</v>
      </c>
    </row>
    <row r="361" spans="1:19">
      <c r="A361" t="s">
        <v>1377</v>
      </c>
      <c r="B361" t="s">
        <v>108</v>
      </c>
      <c r="C361" t="s">
        <v>109</v>
      </c>
      <c r="D361" t="s">
        <v>158</v>
      </c>
      <c r="E361" t="s">
        <v>10</v>
      </c>
      <c r="F361" t="s">
        <v>138</v>
      </c>
      <c r="G361" t="s">
        <v>469</v>
      </c>
      <c r="H361" t="s">
        <v>470</v>
      </c>
      <c r="I361" t="s">
        <v>470</v>
      </c>
      <c r="J361" t="s">
        <v>1378</v>
      </c>
      <c r="K361" s="2">
        <v>10.1</v>
      </c>
      <c r="L361" s="3">
        <v>120233.17</v>
      </c>
      <c r="M361" t="s">
        <v>142</v>
      </c>
      <c r="N361" t="s">
        <v>156</v>
      </c>
      <c r="O361" t="s">
        <v>1349</v>
      </c>
      <c r="P361" t="str">
        <f t="shared" si="15"/>
        <v>2025-03</v>
      </c>
      <c r="Q361">
        <f>IF(tblWO[[#This Row],[Status]]="Completed",1,
IF(tblWO[[#This Row],[Status]]="In Progress",2,
IF(tblWO[[#This Row],[Status]]="Planned",3,
IF(tblWO[[#This Row],[Status]]="Cancelled",4,99))))</f>
        <v>1</v>
      </c>
      <c r="R361">
        <f t="shared" si="16"/>
        <v>1</v>
      </c>
      <c r="S361" s="6" t="str">
        <f t="shared" si="17"/>
        <v>2025-03</v>
      </c>
    </row>
    <row r="362" spans="1:19">
      <c r="A362" t="s">
        <v>1379</v>
      </c>
      <c r="B362" t="s">
        <v>108</v>
      </c>
      <c r="C362" t="s">
        <v>109</v>
      </c>
      <c r="D362" t="s">
        <v>146</v>
      </c>
      <c r="E362" t="s">
        <v>45</v>
      </c>
      <c r="F362" t="s">
        <v>138</v>
      </c>
      <c r="G362" t="s">
        <v>1380</v>
      </c>
      <c r="H362" t="s">
        <v>1381</v>
      </c>
      <c r="I362" t="s">
        <v>1381</v>
      </c>
      <c r="J362" t="s">
        <v>1382</v>
      </c>
      <c r="K362" s="2">
        <v>9.3000000000000007</v>
      </c>
      <c r="L362" s="3">
        <v>426514.06</v>
      </c>
      <c r="M362" t="s">
        <v>173</v>
      </c>
      <c r="N362" t="s">
        <v>162</v>
      </c>
      <c r="O362" t="s">
        <v>1343</v>
      </c>
      <c r="P362" t="str">
        <f t="shared" si="15"/>
        <v>2025-04</v>
      </c>
      <c r="Q362">
        <f>IF(tblWO[[#This Row],[Status]]="Completed",1,
IF(tblWO[[#This Row],[Status]]="In Progress",2,
IF(tblWO[[#This Row],[Status]]="Planned",3,
IF(tblWO[[#This Row],[Status]]="Cancelled",4,99))))</f>
        <v>1</v>
      </c>
      <c r="R362">
        <f t="shared" si="16"/>
        <v>3</v>
      </c>
      <c r="S362" s="6" t="str">
        <f t="shared" si="17"/>
        <v>2025-04</v>
      </c>
    </row>
    <row r="363" spans="1:19">
      <c r="A363" t="s">
        <v>1383</v>
      </c>
      <c r="B363" t="s">
        <v>108</v>
      </c>
      <c r="C363" t="s">
        <v>109</v>
      </c>
      <c r="D363" t="s">
        <v>169</v>
      </c>
      <c r="E363" t="s">
        <v>37</v>
      </c>
      <c r="F363" t="s">
        <v>138</v>
      </c>
      <c r="G363" t="s">
        <v>373</v>
      </c>
      <c r="H363" t="s">
        <v>374</v>
      </c>
      <c r="I363" t="s">
        <v>374</v>
      </c>
      <c r="J363" t="s">
        <v>1384</v>
      </c>
      <c r="K363" s="2">
        <v>41.6</v>
      </c>
      <c r="L363" s="3">
        <v>707132.54</v>
      </c>
      <c r="M363" t="s">
        <v>308</v>
      </c>
      <c r="N363" t="s">
        <v>143</v>
      </c>
      <c r="O363" t="s">
        <v>1346</v>
      </c>
      <c r="P363" t="str">
        <f t="shared" si="15"/>
        <v>2025-10</v>
      </c>
      <c r="Q363">
        <f>IF(tblWO[[#This Row],[Status]]="Completed",1,
IF(tblWO[[#This Row],[Status]]="In Progress",2,
IF(tblWO[[#This Row],[Status]]="Planned",3,
IF(tblWO[[#This Row],[Status]]="Cancelled",4,99))))</f>
        <v>1</v>
      </c>
      <c r="R363">
        <f t="shared" si="16"/>
        <v>4</v>
      </c>
      <c r="S363" s="6" t="str">
        <f t="shared" si="17"/>
        <v>2025-10</v>
      </c>
    </row>
    <row r="364" spans="1:19">
      <c r="A364" t="s">
        <v>1385</v>
      </c>
      <c r="B364" t="s">
        <v>111</v>
      </c>
      <c r="C364" t="s">
        <v>112</v>
      </c>
      <c r="D364" t="s">
        <v>146</v>
      </c>
      <c r="E364" t="s">
        <v>45</v>
      </c>
      <c r="F364" t="s">
        <v>138</v>
      </c>
      <c r="G364" t="s">
        <v>507</v>
      </c>
      <c r="H364" t="s">
        <v>508</v>
      </c>
      <c r="I364" t="s">
        <v>508</v>
      </c>
      <c r="J364" t="s">
        <v>1386</v>
      </c>
      <c r="K364" s="2">
        <v>11</v>
      </c>
      <c r="L364" s="3">
        <v>327060.55</v>
      </c>
      <c r="M364" t="s">
        <v>142</v>
      </c>
      <c r="N364" t="s">
        <v>143</v>
      </c>
      <c r="O364" t="s">
        <v>1387</v>
      </c>
      <c r="P364" t="str">
        <f t="shared" si="15"/>
        <v>2025-12</v>
      </c>
      <c r="Q364">
        <f>IF(tblWO[[#This Row],[Status]]="Completed",1,
IF(tblWO[[#This Row],[Status]]="In Progress",2,
IF(tblWO[[#This Row],[Status]]="Planned",3,
IF(tblWO[[#This Row],[Status]]="Cancelled",4,99))))</f>
        <v>1</v>
      </c>
      <c r="R364">
        <f t="shared" si="16"/>
        <v>3</v>
      </c>
      <c r="S364" s="6" t="str">
        <f t="shared" si="17"/>
        <v>2025-12</v>
      </c>
    </row>
    <row r="365" spans="1:19">
      <c r="A365" t="s">
        <v>1388</v>
      </c>
      <c r="B365" t="s">
        <v>111</v>
      </c>
      <c r="C365" t="s">
        <v>112</v>
      </c>
      <c r="D365" t="s">
        <v>146</v>
      </c>
      <c r="E365" t="s">
        <v>10</v>
      </c>
      <c r="F365" t="s">
        <v>138</v>
      </c>
      <c r="G365" t="s">
        <v>1389</v>
      </c>
      <c r="H365" t="s">
        <v>1390</v>
      </c>
      <c r="I365" t="s">
        <v>1390</v>
      </c>
      <c r="J365" t="s">
        <v>1391</v>
      </c>
      <c r="K365" s="2">
        <v>5.0999999999999996</v>
      </c>
      <c r="L365" s="3">
        <v>340665.11</v>
      </c>
      <c r="M365" t="s">
        <v>308</v>
      </c>
      <c r="N365" t="s">
        <v>162</v>
      </c>
      <c r="O365" t="s">
        <v>1387</v>
      </c>
      <c r="P365" t="str">
        <f t="shared" si="15"/>
        <v>2025-08</v>
      </c>
      <c r="Q365">
        <f>IF(tblWO[[#This Row],[Status]]="Completed",1,
IF(tblWO[[#This Row],[Status]]="In Progress",2,
IF(tblWO[[#This Row],[Status]]="Planned",3,
IF(tblWO[[#This Row],[Status]]="Cancelled",4,99))))</f>
        <v>1</v>
      </c>
      <c r="R365">
        <f t="shared" si="16"/>
        <v>3</v>
      </c>
      <c r="S365" s="6" t="str">
        <f t="shared" si="17"/>
        <v>2025-08</v>
      </c>
    </row>
    <row r="366" spans="1:19">
      <c r="A366" t="s">
        <v>1392</v>
      </c>
      <c r="B366" t="s">
        <v>111</v>
      </c>
      <c r="C366" t="s">
        <v>112</v>
      </c>
      <c r="D366" t="s">
        <v>146</v>
      </c>
      <c r="E366" t="s">
        <v>10</v>
      </c>
      <c r="F366" t="s">
        <v>138</v>
      </c>
      <c r="G366" t="s">
        <v>515</v>
      </c>
      <c r="H366" t="s">
        <v>516</v>
      </c>
      <c r="I366" t="s">
        <v>516</v>
      </c>
      <c r="J366" t="s">
        <v>1393</v>
      </c>
      <c r="K366" s="2">
        <v>18.3</v>
      </c>
      <c r="L366" s="3">
        <v>467512.31</v>
      </c>
      <c r="M366" t="s">
        <v>670</v>
      </c>
      <c r="N366" t="s">
        <v>342</v>
      </c>
      <c r="O366" t="s">
        <v>1387</v>
      </c>
      <c r="P366" t="str">
        <f t="shared" si="15"/>
        <v>2025-06</v>
      </c>
      <c r="Q366">
        <f>IF(tblWO[[#This Row],[Status]]="Completed",1,
IF(tblWO[[#This Row],[Status]]="In Progress",2,
IF(tblWO[[#This Row],[Status]]="Planned",3,
IF(tblWO[[#This Row],[Status]]="Cancelled",4,99))))</f>
        <v>1</v>
      </c>
      <c r="R366">
        <f t="shared" si="16"/>
        <v>3</v>
      </c>
      <c r="S366" s="6" t="str">
        <f t="shared" si="17"/>
        <v>2025-06</v>
      </c>
    </row>
    <row r="367" spans="1:19">
      <c r="A367" t="s">
        <v>1394</v>
      </c>
      <c r="B367" t="s">
        <v>111</v>
      </c>
      <c r="C367" t="s">
        <v>112</v>
      </c>
      <c r="D367" t="s">
        <v>158</v>
      </c>
      <c r="E367" t="s">
        <v>45</v>
      </c>
      <c r="F367" t="s">
        <v>147</v>
      </c>
      <c r="G367" t="s">
        <v>695</v>
      </c>
      <c r="H367" t="s">
        <v>696</v>
      </c>
      <c r="K367" s="2">
        <v>0</v>
      </c>
      <c r="L367" s="3">
        <v>0</v>
      </c>
      <c r="N367" t="s">
        <v>342</v>
      </c>
      <c r="O367" t="s">
        <v>1395</v>
      </c>
      <c r="P367" t="str">
        <f t="shared" si="15"/>
        <v>2025-03</v>
      </c>
      <c r="Q367">
        <f>IF(tblWO[[#This Row],[Status]]="Completed",1,
IF(tblWO[[#This Row],[Status]]="In Progress",2,
IF(tblWO[[#This Row],[Status]]="Planned",3,
IF(tblWO[[#This Row],[Status]]="Cancelled",4,99))))</f>
        <v>2</v>
      </c>
      <c r="R367">
        <f t="shared" si="16"/>
        <v>1</v>
      </c>
      <c r="S367" s="6" t="str">
        <f t="shared" si="17"/>
        <v>2025-03</v>
      </c>
    </row>
    <row r="368" spans="1:19">
      <c r="A368" t="s">
        <v>1396</v>
      </c>
      <c r="B368" t="s">
        <v>111</v>
      </c>
      <c r="C368" t="s">
        <v>112</v>
      </c>
      <c r="D368" t="s">
        <v>463</v>
      </c>
      <c r="E368" t="s">
        <v>45</v>
      </c>
      <c r="F368" t="s">
        <v>138</v>
      </c>
      <c r="G368" t="s">
        <v>1397</v>
      </c>
      <c r="H368" t="s">
        <v>1398</v>
      </c>
      <c r="I368" t="s">
        <v>1398</v>
      </c>
      <c r="J368" t="s">
        <v>1399</v>
      </c>
      <c r="K368" s="2">
        <v>56.3</v>
      </c>
      <c r="L368" s="3">
        <v>822603.2</v>
      </c>
      <c r="M368" t="s">
        <v>390</v>
      </c>
      <c r="N368" t="s">
        <v>143</v>
      </c>
      <c r="O368" t="s">
        <v>1400</v>
      </c>
      <c r="P368" t="str">
        <f t="shared" si="15"/>
        <v>2025-07</v>
      </c>
      <c r="Q368">
        <f>IF(tblWO[[#This Row],[Status]]="Completed",1,
IF(tblWO[[#This Row],[Status]]="In Progress",2,
IF(tblWO[[#This Row],[Status]]="Planned",3,
IF(tblWO[[#This Row],[Status]]="Cancelled",4,99))))</f>
        <v>1</v>
      </c>
      <c r="R368">
        <f t="shared" si="16"/>
        <v>5</v>
      </c>
      <c r="S368" s="6" t="str">
        <f t="shared" si="17"/>
        <v>2025-07</v>
      </c>
    </row>
    <row r="369" spans="1:19">
      <c r="A369" t="s">
        <v>1401</v>
      </c>
      <c r="B369" t="s">
        <v>111</v>
      </c>
      <c r="C369" t="s">
        <v>112</v>
      </c>
      <c r="D369" t="s">
        <v>169</v>
      </c>
      <c r="E369" t="s">
        <v>37</v>
      </c>
      <c r="F369" t="s">
        <v>138</v>
      </c>
      <c r="G369" t="s">
        <v>1402</v>
      </c>
      <c r="H369" t="s">
        <v>1403</v>
      </c>
      <c r="I369" t="s">
        <v>1403</v>
      </c>
      <c r="J369" t="s">
        <v>1404</v>
      </c>
      <c r="K369" s="2">
        <v>46.7</v>
      </c>
      <c r="L369" s="3">
        <v>616136.24</v>
      </c>
      <c r="M369" t="s">
        <v>213</v>
      </c>
      <c r="N369" t="s">
        <v>342</v>
      </c>
      <c r="O369" t="s">
        <v>1405</v>
      </c>
      <c r="P369" t="str">
        <f t="shared" si="15"/>
        <v>2025-11</v>
      </c>
      <c r="Q369">
        <f>IF(tblWO[[#This Row],[Status]]="Completed",1,
IF(tblWO[[#This Row],[Status]]="In Progress",2,
IF(tblWO[[#This Row],[Status]]="Planned",3,
IF(tblWO[[#This Row],[Status]]="Cancelled",4,99))))</f>
        <v>1</v>
      </c>
      <c r="R369">
        <f t="shared" si="16"/>
        <v>4</v>
      </c>
      <c r="S369" s="6" t="str">
        <f t="shared" si="17"/>
        <v>2025-11</v>
      </c>
    </row>
    <row r="370" spans="1:19">
      <c r="A370" t="s">
        <v>1406</v>
      </c>
      <c r="B370" t="s">
        <v>111</v>
      </c>
      <c r="C370" t="s">
        <v>112</v>
      </c>
      <c r="D370" t="s">
        <v>158</v>
      </c>
      <c r="E370" t="s">
        <v>45</v>
      </c>
      <c r="F370" t="s">
        <v>138</v>
      </c>
      <c r="G370" t="s">
        <v>417</v>
      </c>
      <c r="H370" t="s">
        <v>418</v>
      </c>
      <c r="I370" t="s">
        <v>418</v>
      </c>
      <c r="J370" t="s">
        <v>1407</v>
      </c>
      <c r="K370" s="2">
        <v>4.9000000000000004</v>
      </c>
      <c r="L370" s="3">
        <v>94427.07</v>
      </c>
      <c r="M370" t="s">
        <v>142</v>
      </c>
      <c r="N370" t="s">
        <v>162</v>
      </c>
      <c r="O370" t="s">
        <v>1395</v>
      </c>
      <c r="P370" t="str">
        <f t="shared" si="15"/>
        <v>2025-10</v>
      </c>
      <c r="Q370">
        <f>IF(tblWO[[#This Row],[Status]]="Completed",1,
IF(tblWO[[#This Row],[Status]]="In Progress",2,
IF(tblWO[[#This Row],[Status]]="Planned",3,
IF(tblWO[[#This Row],[Status]]="Cancelled",4,99))))</f>
        <v>1</v>
      </c>
      <c r="R370">
        <f t="shared" si="16"/>
        <v>1</v>
      </c>
      <c r="S370" s="6" t="str">
        <f t="shared" si="17"/>
        <v>2025-10</v>
      </c>
    </row>
    <row r="371" spans="1:19">
      <c r="A371" t="s">
        <v>1408</v>
      </c>
      <c r="B371" t="s">
        <v>113</v>
      </c>
      <c r="C371" t="s">
        <v>114</v>
      </c>
      <c r="D371" t="s">
        <v>137</v>
      </c>
      <c r="E371" t="s">
        <v>45</v>
      </c>
      <c r="F371" t="s">
        <v>138</v>
      </c>
      <c r="G371" t="s">
        <v>1163</v>
      </c>
      <c r="H371" t="s">
        <v>1164</v>
      </c>
      <c r="I371" t="s">
        <v>1164</v>
      </c>
      <c r="J371" t="s">
        <v>1409</v>
      </c>
      <c r="K371" s="2">
        <v>1.5</v>
      </c>
      <c r="L371" s="3">
        <v>45457.35</v>
      </c>
      <c r="M371" t="s">
        <v>142</v>
      </c>
      <c r="N371" t="s">
        <v>150</v>
      </c>
      <c r="O371" t="s">
        <v>1410</v>
      </c>
      <c r="P371" t="str">
        <f t="shared" si="15"/>
        <v>2025-07</v>
      </c>
      <c r="Q371">
        <f>IF(tblWO[[#This Row],[Status]]="Completed",1,
IF(tblWO[[#This Row],[Status]]="In Progress",2,
IF(tblWO[[#This Row],[Status]]="Planned",3,
IF(tblWO[[#This Row],[Status]]="Cancelled",4,99))))</f>
        <v>1</v>
      </c>
      <c r="R371">
        <f t="shared" si="16"/>
        <v>2</v>
      </c>
      <c r="S371" s="6" t="str">
        <f t="shared" si="17"/>
        <v>2025-07</v>
      </c>
    </row>
    <row r="372" spans="1:19">
      <c r="A372" t="s">
        <v>1411</v>
      </c>
      <c r="B372" t="s">
        <v>113</v>
      </c>
      <c r="C372" t="s">
        <v>114</v>
      </c>
      <c r="D372" t="s">
        <v>146</v>
      </c>
      <c r="E372" t="s">
        <v>37</v>
      </c>
      <c r="F372" t="s">
        <v>138</v>
      </c>
      <c r="G372" t="s">
        <v>539</v>
      </c>
      <c r="H372" t="s">
        <v>540</v>
      </c>
      <c r="I372" t="s">
        <v>540</v>
      </c>
      <c r="J372" t="s">
        <v>1412</v>
      </c>
      <c r="K372" s="2">
        <v>23.6</v>
      </c>
      <c r="L372" s="3">
        <v>167154.97</v>
      </c>
      <c r="M372" t="s">
        <v>184</v>
      </c>
      <c r="N372" t="s">
        <v>185</v>
      </c>
      <c r="O372" t="s">
        <v>1413</v>
      </c>
      <c r="P372" t="str">
        <f t="shared" si="15"/>
        <v>2025-09</v>
      </c>
      <c r="Q372">
        <f>IF(tblWO[[#This Row],[Status]]="Completed",1,
IF(tblWO[[#This Row],[Status]]="In Progress",2,
IF(tblWO[[#This Row],[Status]]="Planned",3,
IF(tblWO[[#This Row],[Status]]="Cancelled",4,99))))</f>
        <v>1</v>
      </c>
      <c r="R372">
        <f t="shared" si="16"/>
        <v>3</v>
      </c>
      <c r="S372" s="6" t="str">
        <f t="shared" si="17"/>
        <v>2025-09</v>
      </c>
    </row>
    <row r="373" spans="1:19">
      <c r="A373" t="s">
        <v>1414</v>
      </c>
      <c r="B373" t="s">
        <v>113</v>
      </c>
      <c r="C373" t="s">
        <v>114</v>
      </c>
      <c r="D373" t="s">
        <v>169</v>
      </c>
      <c r="E373" t="s">
        <v>10</v>
      </c>
      <c r="F373" t="s">
        <v>138</v>
      </c>
      <c r="G373" t="s">
        <v>1402</v>
      </c>
      <c r="H373" t="s">
        <v>1403</v>
      </c>
      <c r="I373" t="s">
        <v>1403</v>
      </c>
      <c r="J373" t="s">
        <v>1415</v>
      </c>
      <c r="K373" s="2">
        <v>16.399999999999999</v>
      </c>
      <c r="L373" s="3">
        <v>615905.65</v>
      </c>
      <c r="M373" t="s">
        <v>563</v>
      </c>
      <c r="N373" t="s">
        <v>342</v>
      </c>
      <c r="O373" t="s">
        <v>1416</v>
      </c>
      <c r="P373" t="str">
        <f t="shared" si="15"/>
        <v>2025-11</v>
      </c>
      <c r="Q373">
        <f>IF(tblWO[[#This Row],[Status]]="Completed",1,
IF(tblWO[[#This Row],[Status]]="In Progress",2,
IF(tblWO[[#This Row],[Status]]="Planned",3,
IF(tblWO[[#This Row],[Status]]="Cancelled",4,99))))</f>
        <v>1</v>
      </c>
      <c r="R373">
        <f t="shared" si="16"/>
        <v>4</v>
      </c>
      <c r="S373" s="6" t="str">
        <f t="shared" si="17"/>
        <v>2025-11</v>
      </c>
    </row>
    <row r="374" spans="1:19">
      <c r="A374" t="s">
        <v>1417</v>
      </c>
      <c r="B374" t="s">
        <v>113</v>
      </c>
      <c r="C374" t="s">
        <v>114</v>
      </c>
      <c r="D374" t="s">
        <v>158</v>
      </c>
      <c r="E374" t="s">
        <v>45</v>
      </c>
      <c r="F374" t="s">
        <v>138</v>
      </c>
      <c r="G374" t="s">
        <v>579</v>
      </c>
      <c r="H374" t="s">
        <v>580</v>
      </c>
      <c r="I374" t="s">
        <v>580</v>
      </c>
      <c r="J374" t="s">
        <v>1418</v>
      </c>
      <c r="K374" s="2">
        <v>6.2</v>
      </c>
      <c r="L374" s="3">
        <v>91584.61</v>
      </c>
      <c r="M374" t="s">
        <v>142</v>
      </c>
      <c r="N374" t="s">
        <v>174</v>
      </c>
      <c r="O374" t="s">
        <v>1419</v>
      </c>
      <c r="P374" t="str">
        <f t="shared" si="15"/>
        <v>2025-02</v>
      </c>
      <c r="Q374">
        <f>IF(tblWO[[#This Row],[Status]]="Completed",1,
IF(tblWO[[#This Row],[Status]]="In Progress",2,
IF(tblWO[[#This Row],[Status]]="Planned",3,
IF(tblWO[[#This Row],[Status]]="Cancelled",4,99))))</f>
        <v>1</v>
      </c>
      <c r="R374">
        <f t="shared" si="16"/>
        <v>1</v>
      </c>
      <c r="S374" s="6" t="str">
        <f t="shared" si="17"/>
        <v>2025-02</v>
      </c>
    </row>
    <row r="375" spans="1:19">
      <c r="A375" t="s">
        <v>1420</v>
      </c>
      <c r="B375" t="s">
        <v>113</v>
      </c>
      <c r="C375" t="s">
        <v>114</v>
      </c>
      <c r="D375" t="s">
        <v>158</v>
      </c>
      <c r="E375" t="s">
        <v>32</v>
      </c>
      <c r="F375" t="s">
        <v>138</v>
      </c>
      <c r="G375" t="s">
        <v>1047</v>
      </c>
      <c r="H375" t="s">
        <v>1048</v>
      </c>
      <c r="I375" t="s">
        <v>1048</v>
      </c>
      <c r="J375" t="s">
        <v>1421</v>
      </c>
      <c r="K375" s="2">
        <v>9.9</v>
      </c>
      <c r="L375" s="3">
        <v>194513.87</v>
      </c>
      <c r="M375" t="s">
        <v>142</v>
      </c>
      <c r="N375" t="s">
        <v>150</v>
      </c>
      <c r="O375" t="s">
        <v>1419</v>
      </c>
      <c r="P375" t="str">
        <f t="shared" si="15"/>
        <v>2025-07</v>
      </c>
      <c r="Q375">
        <f>IF(tblWO[[#This Row],[Status]]="Completed",1,
IF(tblWO[[#This Row],[Status]]="In Progress",2,
IF(tblWO[[#This Row],[Status]]="Planned",3,
IF(tblWO[[#This Row],[Status]]="Cancelled",4,99))))</f>
        <v>1</v>
      </c>
      <c r="R375">
        <f t="shared" si="16"/>
        <v>1</v>
      </c>
      <c r="S375" s="6" t="str">
        <f t="shared" si="17"/>
        <v>2025-07</v>
      </c>
    </row>
    <row r="376" spans="1:19">
      <c r="A376" t="s">
        <v>1422</v>
      </c>
      <c r="B376" t="s">
        <v>113</v>
      </c>
      <c r="C376" t="s">
        <v>114</v>
      </c>
      <c r="D376" t="s">
        <v>158</v>
      </c>
      <c r="E376" t="s">
        <v>10</v>
      </c>
      <c r="F376" t="s">
        <v>138</v>
      </c>
      <c r="G376" t="s">
        <v>876</v>
      </c>
      <c r="H376" t="s">
        <v>877</v>
      </c>
      <c r="I376" t="s">
        <v>877</v>
      </c>
      <c r="J376" t="s">
        <v>1423</v>
      </c>
      <c r="K376" s="2">
        <v>4.5999999999999996</v>
      </c>
      <c r="L376" s="3">
        <v>76181.259999999995</v>
      </c>
      <c r="M376" t="s">
        <v>142</v>
      </c>
      <c r="N376" t="s">
        <v>342</v>
      </c>
      <c r="O376" t="s">
        <v>1419</v>
      </c>
      <c r="P376" t="str">
        <f t="shared" si="15"/>
        <v>2025-01</v>
      </c>
      <c r="Q376">
        <f>IF(tblWO[[#This Row],[Status]]="Completed",1,
IF(tblWO[[#This Row],[Status]]="In Progress",2,
IF(tblWO[[#This Row],[Status]]="Planned",3,
IF(tblWO[[#This Row],[Status]]="Cancelled",4,99))))</f>
        <v>1</v>
      </c>
      <c r="R376">
        <f t="shared" si="16"/>
        <v>1</v>
      </c>
      <c r="S376" s="6" t="str">
        <f t="shared" si="17"/>
        <v>2025-01</v>
      </c>
    </row>
    <row r="377" spans="1:19">
      <c r="A377" t="s">
        <v>1424</v>
      </c>
      <c r="B377" t="s">
        <v>113</v>
      </c>
      <c r="C377" t="s">
        <v>114</v>
      </c>
      <c r="D377" t="s">
        <v>158</v>
      </c>
      <c r="E377" t="s">
        <v>32</v>
      </c>
      <c r="F377" t="s">
        <v>138</v>
      </c>
      <c r="G377" t="s">
        <v>1425</v>
      </c>
      <c r="H377" t="s">
        <v>1426</v>
      </c>
      <c r="I377" t="s">
        <v>1426</v>
      </c>
      <c r="J377" t="s">
        <v>1427</v>
      </c>
      <c r="K377" s="2">
        <v>11.8</v>
      </c>
      <c r="L377" s="3">
        <v>134487.65</v>
      </c>
      <c r="M377" t="s">
        <v>142</v>
      </c>
      <c r="N377" t="s">
        <v>156</v>
      </c>
      <c r="O377" t="s">
        <v>1419</v>
      </c>
      <c r="P377" t="str">
        <f t="shared" si="15"/>
        <v>2025-07</v>
      </c>
      <c r="Q377">
        <f>IF(tblWO[[#This Row],[Status]]="Completed",1,
IF(tblWO[[#This Row],[Status]]="In Progress",2,
IF(tblWO[[#This Row],[Status]]="Planned",3,
IF(tblWO[[#This Row],[Status]]="Cancelled",4,99))))</f>
        <v>1</v>
      </c>
      <c r="R377">
        <f t="shared" si="16"/>
        <v>1</v>
      </c>
      <c r="S377" s="6" t="str">
        <f t="shared" si="17"/>
        <v>2025-07</v>
      </c>
    </row>
    <row r="378" spans="1:19">
      <c r="A378" t="s">
        <v>1428</v>
      </c>
      <c r="B378" t="s">
        <v>113</v>
      </c>
      <c r="C378" t="s">
        <v>114</v>
      </c>
      <c r="D378" t="s">
        <v>169</v>
      </c>
      <c r="E378" t="s">
        <v>37</v>
      </c>
      <c r="F378" t="s">
        <v>147</v>
      </c>
      <c r="G378" t="s">
        <v>1429</v>
      </c>
      <c r="H378" t="s">
        <v>1430</v>
      </c>
      <c r="K378" s="2">
        <v>0</v>
      </c>
      <c r="L378" s="3">
        <v>0</v>
      </c>
      <c r="N378" t="s">
        <v>185</v>
      </c>
      <c r="O378" t="s">
        <v>1416</v>
      </c>
      <c r="P378" t="str">
        <f t="shared" si="15"/>
        <v>2025-11</v>
      </c>
      <c r="Q378">
        <f>IF(tblWO[[#This Row],[Status]]="Completed",1,
IF(tblWO[[#This Row],[Status]]="In Progress",2,
IF(tblWO[[#This Row],[Status]]="Planned",3,
IF(tblWO[[#This Row],[Status]]="Cancelled",4,99))))</f>
        <v>2</v>
      </c>
      <c r="R378">
        <f t="shared" si="16"/>
        <v>4</v>
      </c>
      <c r="S378" s="6" t="str">
        <f t="shared" si="17"/>
        <v>2025-11</v>
      </c>
    </row>
    <row r="379" spans="1:19">
      <c r="A379" t="s">
        <v>1431</v>
      </c>
      <c r="B379" t="s">
        <v>113</v>
      </c>
      <c r="C379" t="s">
        <v>114</v>
      </c>
      <c r="D379" t="s">
        <v>158</v>
      </c>
      <c r="E379" t="s">
        <v>32</v>
      </c>
      <c r="F379" t="s">
        <v>138</v>
      </c>
      <c r="G379" t="s">
        <v>1432</v>
      </c>
      <c r="H379" t="s">
        <v>1433</v>
      </c>
      <c r="I379" t="s">
        <v>1433</v>
      </c>
      <c r="J379" t="s">
        <v>1434</v>
      </c>
      <c r="K379" s="2">
        <v>7.4</v>
      </c>
      <c r="L379" s="3">
        <v>215149.47</v>
      </c>
      <c r="M379" t="s">
        <v>142</v>
      </c>
      <c r="N379" t="s">
        <v>239</v>
      </c>
      <c r="O379" t="s">
        <v>1419</v>
      </c>
      <c r="P379" t="str">
        <f t="shared" si="15"/>
        <v>2025-03</v>
      </c>
      <c r="Q379">
        <f>IF(tblWO[[#This Row],[Status]]="Completed",1,
IF(tblWO[[#This Row],[Status]]="In Progress",2,
IF(tblWO[[#This Row],[Status]]="Planned",3,
IF(tblWO[[#This Row],[Status]]="Cancelled",4,99))))</f>
        <v>1</v>
      </c>
      <c r="R379">
        <f t="shared" si="16"/>
        <v>1</v>
      </c>
      <c r="S379" s="6" t="str">
        <f t="shared" si="17"/>
        <v>2025-03</v>
      </c>
    </row>
    <row r="380" spans="1:19">
      <c r="A380" t="s">
        <v>1435</v>
      </c>
      <c r="B380" t="s">
        <v>113</v>
      </c>
      <c r="C380" t="s">
        <v>114</v>
      </c>
      <c r="D380" t="s">
        <v>158</v>
      </c>
      <c r="E380" t="s">
        <v>45</v>
      </c>
      <c r="F380" t="s">
        <v>138</v>
      </c>
      <c r="G380" t="s">
        <v>1363</v>
      </c>
      <c r="H380" t="s">
        <v>1364</v>
      </c>
      <c r="I380" t="s">
        <v>1364</v>
      </c>
      <c r="J380" t="s">
        <v>1436</v>
      </c>
      <c r="K380" s="2">
        <v>2.5</v>
      </c>
      <c r="L380" s="3">
        <v>50953.89</v>
      </c>
      <c r="M380" t="s">
        <v>142</v>
      </c>
      <c r="N380" t="s">
        <v>185</v>
      </c>
      <c r="O380" t="s">
        <v>1419</v>
      </c>
      <c r="P380" t="str">
        <f t="shared" si="15"/>
        <v>2025-01</v>
      </c>
      <c r="Q380">
        <f>IF(tblWO[[#This Row],[Status]]="Completed",1,
IF(tblWO[[#This Row],[Status]]="In Progress",2,
IF(tblWO[[#This Row],[Status]]="Planned",3,
IF(tblWO[[#This Row],[Status]]="Cancelled",4,99))))</f>
        <v>1</v>
      </c>
      <c r="R380">
        <f t="shared" si="16"/>
        <v>1</v>
      </c>
      <c r="S380" s="6" t="str">
        <f t="shared" si="17"/>
        <v>2025-01</v>
      </c>
    </row>
    <row r="381" spans="1:19">
      <c r="A381" t="s">
        <v>1437</v>
      </c>
      <c r="B381" t="s">
        <v>113</v>
      </c>
      <c r="C381" t="s">
        <v>114</v>
      </c>
      <c r="D381" t="s">
        <v>158</v>
      </c>
      <c r="E381" t="s">
        <v>10</v>
      </c>
      <c r="F381" t="s">
        <v>138</v>
      </c>
      <c r="G381" t="s">
        <v>1438</v>
      </c>
      <c r="H381" t="s">
        <v>1439</v>
      </c>
      <c r="I381" t="s">
        <v>1439</v>
      </c>
      <c r="J381" t="s">
        <v>1440</v>
      </c>
      <c r="K381" s="2">
        <v>4.0999999999999996</v>
      </c>
      <c r="L381" s="3">
        <v>209547.66</v>
      </c>
      <c r="M381" t="s">
        <v>142</v>
      </c>
      <c r="N381" t="s">
        <v>185</v>
      </c>
      <c r="O381" t="s">
        <v>1419</v>
      </c>
      <c r="P381" t="str">
        <f t="shared" si="15"/>
        <v>2025-11</v>
      </c>
      <c r="Q381">
        <f>IF(tblWO[[#This Row],[Status]]="Completed",1,
IF(tblWO[[#This Row],[Status]]="In Progress",2,
IF(tblWO[[#This Row],[Status]]="Planned",3,
IF(tblWO[[#This Row],[Status]]="Cancelled",4,99))))</f>
        <v>1</v>
      </c>
      <c r="R381">
        <f t="shared" si="16"/>
        <v>1</v>
      </c>
      <c r="S381" s="6" t="str">
        <f t="shared" si="17"/>
        <v>2025-11</v>
      </c>
    </row>
    <row r="382" spans="1:19">
      <c r="A382" t="s">
        <v>1441</v>
      </c>
      <c r="B382" t="s">
        <v>117</v>
      </c>
      <c r="C382" t="s">
        <v>118</v>
      </c>
      <c r="D382" t="s">
        <v>169</v>
      </c>
      <c r="E382" t="s">
        <v>37</v>
      </c>
      <c r="F382" t="s">
        <v>147</v>
      </c>
      <c r="G382" t="s">
        <v>1290</v>
      </c>
      <c r="H382" t="s">
        <v>1291</v>
      </c>
      <c r="K382" s="2">
        <v>0</v>
      </c>
      <c r="L382" s="3">
        <v>0</v>
      </c>
      <c r="N382" t="s">
        <v>174</v>
      </c>
      <c r="O382" t="s">
        <v>1442</v>
      </c>
      <c r="P382" t="str">
        <f t="shared" si="15"/>
        <v>2025-07</v>
      </c>
      <c r="Q382">
        <f>IF(tblWO[[#This Row],[Status]]="Completed",1,
IF(tblWO[[#This Row],[Status]]="In Progress",2,
IF(tblWO[[#This Row],[Status]]="Planned",3,
IF(tblWO[[#This Row],[Status]]="Cancelled",4,99))))</f>
        <v>2</v>
      </c>
      <c r="R382">
        <f t="shared" si="16"/>
        <v>4</v>
      </c>
      <c r="S382" s="6" t="str">
        <f t="shared" si="17"/>
        <v>2025-07</v>
      </c>
    </row>
    <row r="383" spans="1:19">
      <c r="A383" t="s">
        <v>1443</v>
      </c>
      <c r="B383" t="s">
        <v>117</v>
      </c>
      <c r="C383" t="s">
        <v>118</v>
      </c>
      <c r="D383" t="s">
        <v>158</v>
      </c>
      <c r="E383" t="s">
        <v>37</v>
      </c>
      <c r="F383" t="s">
        <v>138</v>
      </c>
      <c r="G383" t="s">
        <v>264</v>
      </c>
      <c r="H383" t="s">
        <v>265</v>
      </c>
      <c r="I383" t="s">
        <v>265</v>
      </c>
      <c r="J383" t="s">
        <v>1444</v>
      </c>
      <c r="K383" s="2">
        <v>6.7</v>
      </c>
      <c r="L383" s="3">
        <v>106560.57</v>
      </c>
      <c r="M383" t="s">
        <v>142</v>
      </c>
      <c r="N383" t="s">
        <v>239</v>
      </c>
      <c r="O383" t="s">
        <v>1445</v>
      </c>
      <c r="P383" t="str">
        <f t="shared" si="15"/>
        <v>2025-07</v>
      </c>
      <c r="Q383">
        <f>IF(tblWO[[#This Row],[Status]]="Completed",1,
IF(tblWO[[#This Row],[Status]]="In Progress",2,
IF(tblWO[[#This Row],[Status]]="Planned",3,
IF(tblWO[[#This Row],[Status]]="Cancelled",4,99))))</f>
        <v>1</v>
      </c>
      <c r="R383">
        <f t="shared" si="16"/>
        <v>1</v>
      </c>
      <c r="S383" s="6" t="str">
        <f t="shared" si="17"/>
        <v>2025-07</v>
      </c>
    </row>
    <row r="384" spans="1:19">
      <c r="A384" t="s">
        <v>1446</v>
      </c>
      <c r="B384" t="s">
        <v>117</v>
      </c>
      <c r="C384" t="s">
        <v>118</v>
      </c>
      <c r="D384" t="s">
        <v>146</v>
      </c>
      <c r="E384" t="s">
        <v>37</v>
      </c>
      <c r="F384" t="s">
        <v>138</v>
      </c>
      <c r="G384" t="s">
        <v>592</v>
      </c>
      <c r="H384" t="s">
        <v>593</v>
      </c>
      <c r="I384" t="s">
        <v>593</v>
      </c>
      <c r="J384" t="s">
        <v>1447</v>
      </c>
      <c r="K384" s="2">
        <v>14.8</v>
      </c>
      <c r="L384" s="3">
        <v>488282.21</v>
      </c>
      <c r="M384" t="s">
        <v>234</v>
      </c>
      <c r="N384" t="s">
        <v>150</v>
      </c>
      <c r="O384" t="s">
        <v>1448</v>
      </c>
      <c r="P384" t="str">
        <f t="shared" si="15"/>
        <v>2025-12</v>
      </c>
      <c r="Q384">
        <f>IF(tblWO[[#This Row],[Status]]="Completed",1,
IF(tblWO[[#This Row],[Status]]="In Progress",2,
IF(tblWO[[#This Row],[Status]]="Planned",3,
IF(tblWO[[#This Row],[Status]]="Cancelled",4,99))))</f>
        <v>1</v>
      </c>
      <c r="R384">
        <f t="shared" si="16"/>
        <v>3</v>
      </c>
      <c r="S384" s="6" t="str">
        <f t="shared" si="17"/>
        <v>2025-12</v>
      </c>
    </row>
    <row r="385" spans="1:19">
      <c r="A385" t="s">
        <v>1449</v>
      </c>
      <c r="B385" t="s">
        <v>117</v>
      </c>
      <c r="C385" t="s">
        <v>118</v>
      </c>
      <c r="D385" t="s">
        <v>146</v>
      </c>
      <c r="E385" t="s">
        <v>32</v>
      </c>
      <c r="F385" t="s">
        <v>138</v>
      </c>
      <c r="G385" t="s">
        <v>1450</v>
      </c>
      <c r="H385" t="s">
        <v>1451</v>
      </c>
      <c r="I385" t="s">
        <v>1451</v>
      </c>
      <c r="J385" t="s">
        <v>1452</v>
      </c>
      <c r="K385" s="2">
        <v>13.5</v>
      </c>
      <c r="L385" s="3">
        <v>452661.55</v>
      </c>
      <c r="M385" t="s">
        <v>213</v>
      </c>
      <c r="N385" t="s">
        <v>156</v>
      </c>
      <c r="O385" t="s">
        <v>1448</v>
      </c>
      <c r="P385" t="str">
        <f t="shared" si="15"/>
        <v>2025-09</v>
      </c>
      <c r="Q385">
        <f>IF(tblWO[[#This Row],[Status]]="Completed",1,
IF(tblWO[[#This Row],[Status]]="In Progress",2,
IF(tblWO[[#This Row],[Status]]="Planned",3,
IF(tblWO[[#This Row],[Status]]="Cancelled",4,99))))</f>
        <v>1</v>
      </c>
      <c r="R385">
        <f t="shared" si="16"/>
        <v>3</v>
      </c>
      <c r="S385" s="6" t="str">
        <f t="shared" si="17"/>
        <v>2025-09</v>
      </c>
    </row>
    <row r="386" spans="1:19">
      <c r="A386" t="s">
        <v>1453</v>
      </c>
      <c r="B386" t="s">
        <v>117</v>
      </c>
      <c r="C386" t="s">
        <v>118</v>
      </c>
      <c r="D386" t="s">
        <v>158</v>
      </c>
      <c r="E386" t="s">
        <v>45</v>
      </c>
      <c r="F386" t="s">
        <v>138</v>
      </c>
      <c r="G386" t="s">
        <v>575</v>
      </c>
      <c r="H386" t="s">
        <v>576</v>
      </c>
      <c r="I386" t="s">
        <v>576</v>
      </c>
      <c r="J386" t="s">
        <v>1454</v>
      </c>
      <c r="K386" s="2">
        <v>11</v>
      </c>
      <c r="L386" s="3">
        <v>250112.58</v>
      </c>
      <c r="M386" t="s">
        <v>142</v>
      </c>
      <c r="N386" t="s">
        <v>143</v>
      </c>
      <c r="O386" t="s">
        <v>1445</v>
      </c>
      <c r="P386" t="str">
        <f t="shared" ref="P386:P403" si="18">TEXT(G386,"yyyy-mm")</f>
        <v>2025-07</v>
      </c>
      <c r="Q386">
        <f>IF(tblWO[[#This Row],[Status]]="Completed",1,
IF(tblWO[[#This Row],[Status]]="In Progress",2,
IF(tblWO[[#This Row],[Status]]="Planned",3,
IF(tblWO[[#This Row],[Status]]="Cancelled",4,99))))</f>
        <v>1</v>
      </c>
      <c r="R386">
        <f t="shared" ref="R386:R403" si="19">IF(D386="Preventive",1,
IF(D386="Inspection",2,
IF(D386="Corrective",3,
IF(D386="Breakdown",4,
IF(D386="Overhaul",5,99)))))</f>
        <v>1</v>
      </c>
      <c r="S386" s="6" t="str">
        <f t="shared" ref="S386:S403" si="20">TEXT(G386,"yyyy-mm")</f>
        <v>2025-07</v>
      </c>
    </row>
    <row r="387" spans="1:19">
      <c r="A387" t="s">
        <v>1455</v>
      </c>
      <c r="B387" t="s">
        <v>117</v>
      </c>
      <c r="C387" t="s">
        <v>118</v>
      </c>
      <c r="D387" t="s">
        <v>158</v>
      </c>
      <c r="E387" t="s">
        <v>32</v>
      </c>
      <c r="F387" t="s">
        <v>271</v>
      </c>
      <c r="G387" t="s">
        <v>767</v>
      </c>
      <c r="H387" t="s">
        <v>768</v>
      </c>
      <c r="K387" s="2">
        <v>0</v>
      </c>
      <c r="L387" s="3">
        <v>0</v>
      </c>
      <c r="N387" t="s">
        <v>150</v>
      </c>
      <c r="O387" t="s">
        <v>1445</v>
      </c>
      <c r="P387" t="str">
        <f t="shared" si="18"/>
        <v>2025-08</v>
      </c>
      <c r="Q387">
        <f>IF(tblWO[[#This Row],[Status]]="Completed",1,
IF(tblWO[[#This Row],[Status]]="In Progress",2,
IF(tblWO[[#This Row],[Status]]="Planned",3,
IF(tblWO[[#This Row],[Status]]="Cancelled",4,99))))</f>
        <v>4</v>
      </c>
      <c r="R387">
        <f t="shared" si="19"/>
        <v>1</v>
      </c>
      <c r="S387" s="6" t="str">
        <f t="shared" si="20"/>
        <v>2025-08</v>
      </c>
    </row>
    <row r="388" spans="1:19">
      <c r="A388" t="s">
        <v>1456</v>
      </c>
      <c r="B388" t="s">
        <v>117</v>
      </c>
      <c r="C388" t="s">
        <v>118</v>
      </c>
      <c r="D388" t="s">
        <v>158</v>
      </c>
      <c r="E388" t="s">
        <v>37</v>
      </c>
      <c r="F388" t="s">
        <v>138</v>
      </c>
      <c r="G388" t="s">
        <v>1457</v>
      </c>
      <c r="H388" t="s">
        <v>1458</v>
      </c>
      <c r="I388" t="s">
        <v>1458</v>
      </c>
      <c r="J388" t="s">
        <v>1459</v>
      </c>
      <c r="K388" s="2">
        <v>10.199999999999999</v>
      </c>
      <c r="L388" s="3">
        <v>86969.56</v>
      </c>
      <c r="M388" t="s">
        <v>142</v>
      </c>
      <c r="N388" t="s">
        <v>239</v>
      </c>
      <c r="O388" t="s">
        <v>1445</v>
      </c>
      <c r="P388" t="str">
        <f t="shared" si="18"/>
        <v>2025-07</v>
      </c>
      <c r="Q388">
        <f>IF(tblWO[[#This Row],[Status]]="Completed",1,
IF(tblWO[[#This Row],[Status]]="In Progress",2,
IF(tblWO[[#This Row],[Status]]="Planned",3,
IF(tblWO[[#This Row],[Status]]="Cancelled",4,99))))</f>
        <v>1</v>
      </c>
      <c r="R388">
        <f t="shared" si="19"/>
        <v>1</v>
      </c>
      <c r="S388" s="6" t="str">
        <f t="shared" si="20"/>
        <v>2025-07</v>
      </c>
    </row>
    <row r="389" spans="1:19">
      <c r="A389" t="s">
        <v>1460</v>
      </c>
      <c r="B389" t="s">
        <v>117</v>
      </c>
      <c r="C389" t="s">
        <v>118</v>
      </c>
      <c r="D389" t="s">
        <v>158</v>
      </c>
      <c r="E389" t="s">
        <v>45</v>
      </c>
      <c r="F389" t="s">
        <v>138</v>
      </c>
      <c r="G389" t="s">
        <v>206</v>
      </c>
      <c r="H389" t="s">
        <v>207</v>
      </c>
      <c r="I389" t="s">
        <v>207</v>
      </c>
      <c r="J389" t="s">
        <v>1461</v>
      </c>
      <c r="K389" s="2">
        <v>10.6</v>
      </c>
      <c r="L389" s="3">
        <v>179922.04</v>
      </c>
      <c r="M389" t="s">
        <v>142</v>
      </c>
      <c r="N389" t="s">
        <v>162</v>
      </c>
      <c r="O389" t="s">
        <v>1445</v>
      </c>
      <c r="P389" t="str">
        <f t="shared" si="18"/>
        <v>2025-01</v>
      </c>
      <c r="Q389">
        <f>IF(tblWO[[#This Row],[Status]]="Completed",1,
IF(tblWO[[#This Row],[Status]]="In Progress",2,
IF(tblWO[[#This Row],[Status]]="Planned",3,
IF(tblWO[[#This Row],[Status]]="Cancelled",4,99))))</f>
        <v>1</v>
      </c>
      <c r="R389">
        <f t="shared" si="19"/>
        <v>1</v>
      </c>
      <c r="S389" s="6" t="str">
        <f t="shared" si="20"/>
        <v>2025-01</v>
      </c>
    </row>
    <row r="390" spans="1:19">
      <c r="A390" t="s">
        <v>1462</v>
      </c>
      <c r="B390" t="s">
        <v>117</v>
      </c>
      <c r="C390" t="s">
        <v>118</v>
      </c>
      <c r="D390" t="s">
        <v>169</v>
      </c>
      <c r="E390" t="s">
        <v>45</v>
      </c>
      <c r="F390" t="s">
        <v>138</v>
      </c>
      <c r="G390" t="s">
        <v>1463</v>
      </c>
      <c r="H390" t="s">
        <v>1464</v>
      </c>
      <c r="I390" t="s">
        <v>1464</v>
      </c>
      <c r="J390" t="s">
        <v>1465</v>
      </c>
      <c r="K390" s="2">
        <v>13.9</v>
      </c>
      <c r="L390" s="3">
        <v>552760.48</v>
      </c>
      <c r="M390" t="s">
        <v>173</v>
      </c>
      <c r="N390" t="s">
        <v>185</v>
      </c>
      <c r="O390" t="s">
        <v>1442</v>
      </c>
      <c r="P390" t="str">
        <f t="shared" si="18"/>
        <v>2025-10</v>
      </c>
      <c r="Q390">
        <f>IF(tblWO[[#This Row],[Status]]="Completed",1,
IF(tblWO[[#This Row],[Status]]="In Progress",2,
IF(tblWO[[#This Row],[Status]]="Planned",3,
IF(tblWO[[#This Row],[Status]]="Cancelled",4,99))))</f>
        <v>1</v>
      </c>
      <c r="R390">
        <f t="shared" si="19"/>
        <v>4</v>
      </c>
      <c r="S390" s="6" t="str">
        <f t="shared" si="20"/>
        <v>2025-10</v>
      </c>
    </row>
    <row r="391" spans="1:19">
      <c r="A391" t="s">
        <v>1466</v>
      </c>
      <c r="B391" t="s">
        <v>117</v>
      </c>
      <c r="C391" t="s">
        <v>118</v>
      </c>
      <c r="D391" t="s">
        <v>137</v>
      </c>
      <c r="E391" t="s">
        <v>32</v>
      </c>
      <c r="F391" t="s">
        <v>138</v>
      </c>
      <c r="G391" t="s">
        <v>433</v>
      </c>
      <c r="H391" t="s">
        <v>434</v>
      </c>
      <c r="I391" t="s">
        <v>434</v>
      </c>
      <c r="J391" t="s">
        <v>1467</v>
      </c>
      <c r="K391" s="2">
        <v>3.6</v>
      </c>
      <c r="L391" s="3">
        <v>90231.49</v>
      </c>
      <c r="M391" t="s">
        <v>142</v>
      </c>
      <c r="N391" t="s">
        <v>239</v>
      </c>
      <c r="O391" t="s">
        <v>1468</v>
      </c>
      <c r="P391" t="str">
        <f t="shared" si="18"/>
        <v>2025-10</v>
      </c>
      <c r="Q391">
        <f>IF(tblWO[[#This Row],[Status]]="Completed",1,
IF(tblWO[[#This Row],[Status]]="In Progress",2,
IF(tblWO[[#This Row],[Status]]="Planned",3,
IF(tblWO[[#This Row],[Status]]="Cancelled",4,99))))</f>
        <v>1</v>
      </c>
      <c r="R391">
        <f t="shared" si="19"/>
        <v>2</v>
      </c>
      <c r="S391" s="6" t="str">
        <f t="shared" si="20"/>
        <v>2025-10</v>
      </c>
    </row>
    <row r="392" spans="1:19">
      <c r="A392" t="s">
        <v>1469</v>
      </c>
      <c r="B392" t="s">
        <v>117</v>
      </c>
      <c r="C392" t="s">
        <v>118</v>
      </c>
      <c r="D392" t="s">
        <v>158</v>
      </c>
      <c r="E392" t="s">
        <v>37</v>
      </c>
      <c r="F392" t="s">
        <v>138</v>
      </c>
      <c r="G392" t="s">
        <v>191</v>
      </c>
      <c r="H392" t="s">
        <v>192</v>
      </c>
      <c r="I392" t="s">
        <v>192</v>
      </c>
      <c r="J392" t="s">
        <v>1470</v>
      </c>
      <c r="K392" s="2">
        <v>6</v>
      </c>
      <c r="L392" s="3">
        <v>204561.12</v>
      </c>
      <c r="M392" t="s">
        <v>142</v>
      </c>
      <c r="N392" t="s">
        <v>174</v>
      </c>
      <c r="O392" t="s">
        <v>1445</v>
      </c>
      <c r="P392" t="str">
        <f t="shared" si="18"/>
        <v>2025-08</v>
      </c>
      <c r="Q392">
        <f>IF(tblWO[[#This Row],[Status]]="Completed",1,
IF(tblWO[[#This Row],[Status]]="In Progress",2,
IF(tblWO[[#This Row],[Status]]="Planned",3,
IF(tblWO[[#This Row],[Status]]="Cancelled",4,99))))</f>
        <v>1</v>
      </c>
      <c r="R392">
        <f t="shared" si="19"/>
        <v>1</v>
      </c>
      <c r="S392" s="6" t="str">
        <f t="shared" si="20"/>
        <v>2025-08</v>
      </c>
    </row>
    <row r="393" spans="1:19">
      <c r="A393" t="s">
        <v>1471</v>
      </c>
      <c r="B393" t="s">
        <v>117</v>
      </c>
      <c r="C393" t="s">
        <v>118</v>
      </c>
      <c r="D393" t="s">
        <v>158</v>
      </c>
      <c r="E393" t="s">
        <v>45</v>
      </c>
      <c r="F393" t="s">
        <v>138</v>
      </c>
      <c r="G393" t="s">
        <v>515</v>
      </c>
      <c r="H393" t="s">
        <v>516</v>
      </c>
      <c r="I393" t="s">
        <v>516</v>
      </c>
      <c r="J393" t="s">
        <v>1472</v>
      </c>
      <c r="K393" s="2">
        <v>4.7</v>
      </c>
      <c r="L393" s="3">
        <v>143110.17000000001</v>
      </c>
      <c r="M393" t="s">
        <v>142</v>
      </c>
      <c r="N393" t="s">
        <v>342</v>
      </c>
      <c r="O393" t="s">
        <v>1445</v>
      </c>
      <c r="P393" t="str">
        <f t="shared" si="18"/>
        <v>2025-06</v>
      </c>
      <c r="Q393">
        <f>IF(tblWO[[#This Row],[Status]]="Completed",1,
IF(tblWO[[#This Row],[Status]]="In Progress",2,
IF(tblWO[[#This Row],[Status]]="Planned",3,
IF(tblWO[[#This Row],[Status]]="Cancelled",4,99))))</f>
        <v>1</v>
      </c>
      <c r="R393">
        <f t="shared" si="19"/>
        <v>1</v>
      </c>
      <c r="S393" s="6" t="str">
        <f t="shared" si="20"/>
        <v>2025-06</v>
      </c>
    </row>
    <row r="394" spans="1:19">
      <c r="A394" t="s">
        <v>1473</v>
      </c>
      <c r="B394" t="s">
        <v>117</v>
      </c>
      <c r="C394" t="s">
        <v>118</v>
      </c>
      <c r="D394" t="s">
        <v>169</v>
      </c>
      <c r="E394" t="s">
        <v>45</v>
      </c>
      <c r="F394" t="s">
        <v>138</v>
      </c>
      <c r="G394" t="s">
        <v>1326</v>
      </c>
      <c r="H394" t="s">
        <v>1327</v>
      </c>
      <c r="I394" t="s">
        <v>1327</v>
      </c>
      <c r="J394" t="s">
        <v>1474</v>
      </c>
      <c r="K394" s="2">
        <v>11.9</v>
      </c>
      <c r="L394" s="3">
        <v>721340.02</v>
      </c>
      <c r="M394" t="s">
        <v>291</v>
      </c>
      <c r="N394" t="s">
        <v>143</v>
      </c>
      <c r="O394" t="s">
        <v>1442</v>
      </c>
      <c r="P394" t="str">
        <f t="shared" si="18"/>
        <v>2025-05</v>
      </c>
      <c r="Q394">
        <f>IF(tblWO[[#This Row],[Status]]="Completed",1,
IF(tblWO[[#This Row],[Status]]="In Progress",2,
IF(tblWO[[#This Row],[Status]]="Planned",3,
IF(tblWO[[#This Row],[Status]]="Cancelled",4,99))))</f>
        <v>1</v>
      </c>
      <c r="R394">
        <f t="shared" si="19"/>
        <v>4</v>
      </c>
      <c r="S394" s="6" t="str">
        <f t="shared" si="20"/>
        <v>2025-05</v>
      </c>
    </row>
    <row r="395" spans="1:19">
      <c r="A395" t="s">
        <v>1475</v>
      </c>
      <c r="B395" t="s">
        <v>117</v>
      </c>
      <c r="C395" t="s">
        <v>118</v>
      </c>
      <c r="D395" t="s">
        <v>158</v>
      </c>
      <c r="E395" t="s">
        <v>45</v>
      </c>
      <c r="F395" t="s">
        <v>138</v>
      </c>
      <c r="G395" t="s">
        <v>242</v>
      </c>
      <c r="H395" t="s">
        <v>243</v>
      </c>
      <c r="I395" t="s">
        <v>243</v>
      </c>
      <c r="J395" t="s">
        <v>1476</v>
      </c>
      <c r="K395" s="2">
        <v>8</v>
      </c>
      <c r="L395" s="3">
        <v>72321.710000000006</v>
      </c>
      <c r="M395" t="s">
        <v>142</v>
      </c>
      <c r="N395" t="s">
        <v>156</v>
      </c>
      <c r="O395" t="s">
        <v>1445</v>
      </c>
      <c r="P395" t="str">
        <f t="shared" si="18"/>
        <v>2025-08</v>
      </c>
      <c r="Q395">
        <f>IF(tblWO[[#This Row],[Status]]="Completed",1,
IF(tblWO[[#This Row],[Status]]="In Progress",2,
IF(tblWO[[#This Row],[Status]]="Planned",3,
IF(tblWO[[#This Row],[Status]]="Cancelled",4,99))))</f>
        <v>1</v>
      </c>
      <c r="R395">
        <f t="shared" si="19"/>
        <v>1</v>
      </c>
      <c r="S395" s="6" t="str">
        <f t="shared" si="20"/>
        <v>2025-08</v>
      </c>
    </row>
    <row r="396" spans="1:19">
      <c r="A396" t="s">
        <v>1477</v>
      </c>
      <c r="B396" t="s">
        <v>117</v>
      </c>
      <c r="C396" t="s">
        <v>118</v>
      </c>
      <c r="D396" t="s">
        <v>158</v>
      </c>
      <c r="E396" t="s">
        <v>32</v>
      </c>
      <c r="F396" t="s">
        <v>138</v>
      </c>
      <c r="G396" t="s">
        <v>596</v>
      </c>
      <c r="H396" t="s">
        <v>597</v>
      </c>
      <c r="I396" t="s">
        <v>597</v>
      </c>
      <c r="J396" t="s">
        <v>1478</v>
      </c>
      <c r="K396" s="2">
        <v>10.199999999999999</v>
      </c>
      <c r="L396" s="3">
        <v>178817.43</v>
      </c>
      <c r="M396" t="s">
        <v>142</v>
      </c>
      <c r="N396" t="s">
        <v>143</v>
      </c>
      <c r="O396" t="s">
        <v>1445</v>
      </c>
      <c r="P396" t="str">
        <f t="shared" si="18"/>
        <v>2025-07</v>
      </c>
      <c r="Q396">
        <f>IF(tblWO[[#This Row],[Status]]="Completed",1,
IF(tblWO[[#This Row],[Status]]="In Progress",2,
IF(tblWO[[#This Row],[Status]]="Planned",3,
IF(tblWO[[#This Row],[Status]]="Cancelled",4,99))))</f>
        <v>1</v>
      </c>
      <c r="R396">
        <f t="shared" si="19"/>
        <v>1</v>
      </c>
      <c r="S396" s="6" t="str">
        <f t="shared" si="20"/>
        <v>2025-07</v>
      </c>
    </row>
    <row r="397" spans="1:19">
      <c r="A397" t="s">
        <v>1479</v>
      </c>
      <c r="B397" t="s">
        <v>117</v>
      </c>
      <c r="C397" t="s">
        <v>118</v>
      </c>
      <c r="D397" t="s">
        <v>158</v>
      </c>
      <c r="E397" t="s">
        <v>32</v>
      </c>
      <c r="F397" t="s">
        <v>138</v>
      </c>
      <c r="G397" t="s">
        <v>1173</v>
      </c>
      <c r="H397" t="s">
        <v>1174</v>
      </c>
      <c r="I397" t="s">
        <v>1174</v>
      </c>
      <c r="J397" t="s">
        <v>1480</v>
      </c>
      <c r="K397" s="2">
        <v>10.8</v>
      </c>
      <c r="L397" s="3">
        <v>57237.04</v>
      </c>
      <c r="M397" t="s">
        <v>142</v>
      </c>
      <c r="N397" t="s">
        <v>150</v>
      </c>
      <c r="O397" t="s">
        <v>1445</v>
      </c>
      <c r="P397" t="str">
        <f t="shared" si="18"/>
        <v>2025-12</v>
      </c>
      <c r="Q397">
        <f>IF(tblWO[[#This Row],[Status]]="Completed",1,
IF(tblWO[[#This Row],[Status]]="In Progress",2,
IF(tblWO[[#This Row],[Status]]="Planned",3,
IF(tblWO[[#This Row],[Status]]="Cancelled",4,99))))</f>
        <v>1</v>
      </c>
      <c r="R397">
        <f t="shared" si="19"/>
        <v>1</v>
      </c>
      <c r="S397" s="6" t="str">
        <f t="shared" si="20"/>
        <v>2025-12</v>
      </c>
    </row>
    <row r="398" spans="1:19">
      <c r="A398" t="s">
        <v>1481</v>
      </c>
      <c r="B398" t="s">
        <v>117</v>
      </c>
      <c r="C398" t="s">
        <v>118</v>
      </c>
      <c r="D398" t="s">
        <v>137</v>
      </c>
      <c r="E398" t="s">
        <v>45</v>
      </c>
      <c r="F398" t="s">
        <v>138</v>
      </c>
      <c r="G398" t="s">
        <v>797</v>
      </c>
      <c r="H398" t="s">
        <v>798</v>
      </c>
      <c r="I398" t="s">
        <v>798</v>
      </c>
      <c r="J398" t="s">
        <v>1482</v>
      </c>
      <c r="K398" s="2">
        <v>3.8</v>
      </c>
      <c r="L398" s="3">
        <v>76370.720000000001</v>
      </c>
      <c r="M398" t="s">
        <v>142</v>
      </c>
      <c r="N398" t="s">
        <v>239</v>
      </c>
      <c r="O398" t="s">
        <v>1468</v>
      </c>
      <c r="P398" t="str">
        <f t="shared" si="18"/>
        <v>2025-04</v>
      </c>
      <c r="Q398">
        <f>IF(tblWO[[#This Row],[Status]]="Completed",1,
IF(tblWO[[#This Row],[Status]]="In Progress",2,
IF(tblWO[[#This Row],[Status]]="Planned",3,
IF(tblWO[[#This Row],[Status]]="Cancelled",4,99))))</f>
        <v>1</v>
      </c>
      <c r="R398">
        <f t="shared" si="19"/>
        <v>2</v>
      </c>
      <c r="S398" s="6" t="str">
        <f t="shared" si="20"/>
        <v>2025-04</v>
      </c>
    </row>
    <row r="399" spans="1:19">
      <c r="A399" t="s">
        <v>1483</v>
      </c>
      <c r="B399" t="s">
        <v>117</v>
      </c>
      <c r="C399" t="s">
        <v>118</v>
      </c>
      <c r="D399" t="s">
        <v>158</v>
      </c>
      <c r="E399" t="s">
        <v>10</v>
      </c>
      <c r="F399" t="s">
        <v>138</v>
      </c>
      <c r="G399" t="s">
        <v>583</v>
      </c>
      <c r="H399" t="s">
        <v>584</v>
      </c>
      <c r="I399" t="s">
        <v>584</v>
      </c>
      <c r="J399" t="s">
        <v>1484</v>
      </c>
      <c r="K399" s="2">
        <v>2.2999999999999998</v>
      </c>
      <c r="L399" s="3">
        <v>143116.69</v>
      </c>
      <c r="M399" t="s">
        <v>142</v>
      </c>
      <c r="N399" t="s">
        <v>156</v>
      </c>
      <c r="O399" t="s">
        <v>1445</v>
      </c>
      <c r="P399" t="str">
        <f t="shared" si="18"/>
        <v>2025-08</v>
      </c>
      <c r="Q399">
        <f>IF(tblWO[[#This Row],[Status]]="Completed",1,
IF(tblWO[[#This Row],[Status]]="In Progress",2,
IF(tblWO[[#This Row],[Status]]="Planned",3,
IF(tblWO[[#This Row],[Status]]="Cancelled",4,99))))</f>
        <v>1</v>
      </c>
      <c r="R399">
        <f t="shared" si="19"/>
        <v>1</v>
      </c>
      <c r="S399" s="6" t="str">
        <f t="shared" si="20"/>
        <v>2025-08</v>
      </c>
    </row>
    <row r="400" spans="1:19">
      <c r="A400" t="s">
        <v>1485</v>
      </c>
      <c r="B400" t="s">
        <v>117</v>
      </c>
      <c r="C400" t="s">
        <v>118</v>
      </c>
      <c r="D400" t="s">
        <v>158</v>
      </c>
      <c r="E400" t="s">
        <v>37</v>
      </c>
      <c r="F400" t="s">
        <v>138</v>
      </c>
      <c r="G400" t="s">
        <v>1486</v>
      </c>
      <c r="H400" t="s">
        <v>1487</v>
      </c>
      <c r="I400" t="s">
        <v>1487</v>
      </c>
      <c r="J400" t="s">
        <v>1488</v>
      </c>
      <c r="K400" s="2">
        <v>10.9</v>
      </c>
      <c r="L400" s="3">
        <v>237240.28</v>
      </c>
      <c r="M400" t="s">
        <v>142</v>
      </c>
      <c r="N400" t="s">
        <v>185</v>
      </c>
      <c r="O400" t="s">
        <v>1445</v>
      </c>
      <c r="P400" t="str">
        <f t="shared" si="18"/>
        <v>2025-08</v>
      </c>
      <c r="Q400">
        <f>IF(tblWO[[#This Row],[Status]]="Completed",1,
IF(tblWO[[#This Row],[Status]]="In Progress",2,
IF(tblWO[[#This Row],[Status]]="Planned",3,
IF(tblWO[[#This Row],[Status]]="Cancelled",4,99))))</f>
        <v>1</v>
      </c>
      <c r="R400">
        <f t="shared" si="19"/>
        <v>1</v>
      </c>
      <c r="S400" s="6" t="str">
        <f t="shared" si="20"/>
        <v>2025-08</v>
      </c>
    </row>
    <row r="401" spans="1:19">
      <c r="A401" t="s">
        <v>1489</v>
      </c>
      <c r="B401" t="s">
        <v>117</v>
      </c>
      <c r="C401" t="s">
        <v>118</v>
      </c>
      <c r="D401" t="s">
        <v>158</v>
      </c>
      <c r="E401" t="s">
        <v>45</v>
      </c>
      <c r="F401" t="s">
        <v>147</v>
      </c>
      <c r="G401" t="s">
        <v>511</v>
      </c>
      <c r="H401" t="s">
        <v>512</v>
      </c>
      <c r="K401" s="2">
        <v>0</v>
      </c>
      <c r="L401" s="3">
        <v>0</v>
      </c>
      <c r="N401" t="s">
        <v>150</v>
      </c>
      <c r="O401" t="s">
        <v>1445</v>
      </c>
      <c r="P401" t="str">
        <f t="shared" si="18"/>
        <v>2025-07</v>
      </c>
      <c r="Q401">
        <f>IF(tblWO[[#This Row],[Status]]="Completed",1,
IF(tblWO[[#This Row],[Status]]="In Progress",2,
IF(tblWO[[#This Row],[Status]]="Planned",3,
IF(tblWO[[#This Row],[Status]]="Cancelled",4,99))))</f>
        <v>2</v>
      </c>
      <c r="R401">
        <f t="shared" si="19"/>
        <v>1</v>
      </c>
      <c r="S401" s="6" t="str">
        <f t="shared" si="20"/>
        <v>2025-07</v>
      </c>
    </row>
    <row r="402" spans="1:19">
      <c r="A402" t="s">
        <v>1490</v>
      </c>
      <c r="B402" t="s">
        <v>117</v>
      </c>
      <c r="C402" t="s">
        <v>118</v>
      </c>
      <c r="D402" t="s">
        <v>137</v>
      </c>
      <c r="E402" t="s">
        <v>45</v>
      </c>
      <c r="F402" t="s">
        <v>138</v>
      </c>
      <c r="G402" t="s">
        <v>801</v>
      </c>
      <c r="H402" t="s">
        <v>802</v>
      </c>
      <c r="I402" t="s">
        <v>802</v>
      </c>
      <c r="J402" t="s">
        <v>1491</v>
      </c>
      <c r="K402" s="2">
        <v>2.5</v>
      </c>
      <c r="L402" s="3">
        <v>89170.39</v>
      </c>
      <c r="M402" t="s">
        <v>142</v>
      </c>
      <c r="N402" t="s">
        <v>162</v>
      </c>
      <c r="O402" t="s">
        <v>1468</v>
      </c>
      <c r="P402" t="str">
        <f t="shared" si="18"/>
        <v>2025-11</v>
      </c>
      <c r="Q402">
        <f>IF(tblWO[[#This Row],[Status]]="Completed",1,
IF(tblWO[[#This Row],[Status]]="In Progress",2,
IF(tblWO[[#This Row],[Status]]="Planned",3,
IF(tblWO[[#This Row],[Status]]="Cancelled",4,99))))</f>
        <v>1</v>
      </c>
      <c r="R402">
        <f t="shared" si="19"/>
        <v>2</v>
      </c>
      <c r="S402" s="6" t="str">
        <f t="shared" si="20"/>
        <v>2025-11</v>
      </c>
    </row>
    <row r="403" spans="1:19">
      <c r="A403" t="s">
        <v>1492</v>
      </c>
      <c r="B403" t="s">
        <v>117</v>
      </c>
      <c r="C403" t="s">
        <v>118</v>
      </c>
      <c r="D403" t="s">
        <v>158</v>
      </c>
      <c r="E403" t="s">
        <v>10</v>
      </c>
      <c r="F403" t="s">
        <v>138</v>
      </c>
      <c r="G403" t="s">
        <v>215</v>
      </c>
      <c r="H403" t="s">
        <v>216</v>
      </c>
      <c r="I403" t="s">
        <v>216</v>
      </c>
      <c r="J403" t="s">
        <v>1493</v>
      </c>
      <c r="K403" s="2">
        <v>4.5</v>
      </c>
      <c r="L403" s="3">
        <v>251271.39</v>
      </c>
      <c r="M403" t="s">
        <v>142</v>
      </c>
      <c r="N403" t="s">
        <v>239</v>
      </c>
      <c r="O403" t="s">
        <v>1445</v>
      </c>
      <c r="P403" t="str">
        <f t="shared" si="18"/>
        <v>2025-02</v>
      </c>
      <c r="Q403">
        <f>IF(tblWO[[#This Row],[Status]]="Completed",1,
IF(tblWO[[#This Row],[Status]]="In Progress",2,
IF(tblWO[[#This Row],[Status]]="Planned",3,
IF(tblWO[[#This Row],[Status]]="Cancelled",4,99))))</f>
        <v>1</v>
      </c>
      <c r="R403">
        <f t="shared" si="19"/>
        <v>1</v>
      </c>
      <c r="S403" s="6" t="str">
        <f t="shared" si="20"/>
        <v>2025-02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C4" sqref="C4"/>
    </sheetView>
  </sheetViews>
  <sheetFormatPr defaultRowHeight="15"/>
  <cols>
    <col min="1" max="1" width="15.85546875" bestFit="1" customWidth="1"/>
    <col min="2" max="2" width="20.7109375" customWidth="1"/>
    <col min="3" max="3" width="24.42578125" bestFit="1" customWidth="1"/>
    <col min="4" max="4" width="18.7109375" style="3" customWidth="1"/>
    <col min="5" max="5" width="14.5703125" style="2" bestFit="1" customWidth="1"/>
    <col min="6" max="6" width="14.7109375" style="2" bestFit="1" customWidth="1"/>
    <col min="7" max="7" width="17" bestFit="1" customWidth="1"/>
  </cols>
  <sheetData>
    <row r="1" spans="1:7">
      <c r="A1" s="4" t="s">
        <v>0</v>
      </c>
      <c r="B1" s="4" t="s">
        <v>1494</v>
      </c>
      <c r="C1" s="4" t="s">
        <v>1495</v>
      </c>
      <c r="D1" s="4" t="s">
        <v>1496</v>
      </c>
      <c r="E1" s="4" t="s">
        <v>1497</v>
      </c>
      <c r="F1" s="4" t="s">
        <v>1498</v>
      </c>
      <c r="G1" s="4" t="s">
        <v>1499</v>
      </c>
    </row>
    <row r="2" spans="1:7">
      <c r="A2" t="s">
        <v>7</v>
      </c>
      <c r="B2">
        <v>15</v>
      </c>
      <c r="C2">
        <v>139.4</v>
      </c>
      <c r="D2" s="3">
        <v>2863344.77</v>
      </c>
      <c r="E2" s="2">
        <v>4380</v>
      </c>
      <c r="F2" s="2">
        <v>9.3000000000000007</v>
      </c>
      <c r="G2">
        <v>98.41</v>
      </c>
    </row>
    <row r="3" spans="1:7">
      <c r="A3" t="s">
        <v>14</v>
      </c>
      <c r="B3">
        <v>17</v>
      </c>
      <c r="C3">
        <v>205</v>
      </c>
      <c r="D3" s="3">
        <v>5004671.3899999997</v>
      </c>
      <c r="E3" s="2">
        <v>2190</v>
      </c>
      <c r="F3" s="2">
        <v>12.1</v>
      </c>
      <c r="G3">
        <v>97.66</v>
      </c>
    </row>
    <row r="4" spans="1:7">
      <c r="A4" t="s">
        <v>19</v>
      </c>
      <c r="B4">
        <v>13</v>
      </c>
      <c r="C4">
        <v>171</v>
      </c>
      <c r="D4" s="3">
        <v>2921472.03</v>
      </c>
      <c r="E4" s="2">
        <v>2920</v>
      </c>
      <c r="F4" s="2">
        <v>13.2</v>
      </c>
      <c r="G4">
        <v>98.05</v>
      </c>
    </row>
    <row r="5" spans="1:7">
      <c r="A5" t="s">
        <v>24</v>
      </c>
      <c r="B5">
        <v>22</v>
      </c>
      <c r="C5">
        <v>304.89999999999998</v>
      </c>
      <c r="D5" s="3">
        <v>5086336.95</v>
      </c>
      <c r="E5" s="2">
        <v>2920</v>
      </c>
      <c r="F5" s="2">
        <v>13.9</v>
      </c>
      <c r="G5">
        <v>96.52</v>
      </c>
    </row>
    <row r="6" spans="1:7">
      <c r="A6" t="s">
        <v>29</v>
      </c>
      <c r="B6">
        <v>6</v>
      </c>
      <c r="C6">
        <v>92.1</v>
      </c>
      <c r="D6" s="3">
        <v>1898449.3</v>
      </c>
      <c r="E6" s="2">
        <v>2920</v>
      </c>
      <c r="F6" s="2">
        <v>15.4</v>
      </c>
      <c r="G6">
        <v>98.95</v>
      </c>
    </row>
    <row r="7" spans="1:7">
      <c r="A7" t="s">
        <v>34</v>
      </c>
      <c r="B7">
        <v>15</v>
      </c>
      <c r="C7">
        <v>212.1</v>
      </c>
      <c r="D7" s="3">
        <v>4352095.7000000011</v>
      </c>
      <c r="E7" s="2">
        <v>2920</v>
      </c>
      <c r="F7" s="2">
        <v>14.1</v>
      </c>
      <c r="G7">
        <v>97.58</v>
      </c>
    </row>
    <row r="8" spans="1:7">
      <c r="A8" t="s">
        <v>39</v>
      </c>
      <c r="B8">
        <v>22</v>
      </c>
      <c r="C8">
        <v>183.6</v>
      </c>
      <c r="D8" s="3">
        <v>5071478.6099999994</v>
      </c>
      <c r="E8" s="2">
        <v>2920</v>
      </c>
      <c r="F8" s="2">
        <v>8.3000000000000007</v>
      </c>
      <c r="G8">
        <v>97.9</v>
      </c>
    </row>
    <row r="9" spans="1:7">
      <c r="A9" t="s">
        <v>43</v>
      </c>
      <c r="B9">
        <v>8</v>
      </c>
      <c r="C9">
        <v>83.699999999999989</v>
      </c>
      <c r="D9" s="3">
        <v>2250966.2999999998</v>
      </c>
      <c r="E9" s="2">
        <v>4380</v>
      </c>
      <c r="F9" s="2">
        <v>10.5</v>
      </c>
      <c r="G9">
        <v>99.04</v>
      </c>
    </row>
    <row r="10" spans="1:7">
      <c r="A10" t="s">
        <v>47</v>
      </c>
      <c r="B10">
        <v>4</v>
      </c>
      <c r="C10">
        <v>95.9</v>
      </c>
      <c r="D10" s="3">
        <v>1872736.92</v>
      </c>
      <c r="E10" s="2">
        <v>8760</v>
      </c>
      <c r="F10" s="2">
        <v>24</v>
      </c>
      <c r="G10">
        <v>98.91</v>
      </c>
    </row>
    <row r="11" spans="1:7">
      <c r="A11" t="s">
        <v>50</v>
      </c>
      <c r="B11">
        <v>12</v>
      </c>
      <c r="C11">
        <v>207.8</v>
      </c>
      <c r="D11" s="3">
        <v>3701480.7</v>
      </c>
      <c r="E11" s="2">
        <v>2190</v>
      </c>
      <c r="F11" s="2">
        <v>17.3</v>
      </c>
      <c r="G11">
        <v>97.63</v>
      </c>
    </row>
    <row r="12" spans="1:7">
      <c r="A12" t="s">
        <v>55</v>
      </c>
      <c r="B12">
        <v>13</v>
      </c>
      <c r="C12">
        <v>97.100000000000009</v>
      </c>
      <c r="D12" s="3">
        <v>2830912.04</v>
      </c>
      <c r="E12" s="2">
        <v>8760</v>
      </c>
      <c r="F12" s="2">
        <v>7.5</v>
      </c>
      <c r="G12">
        <v>98.89</v>
      </c>
    </row>
    <row r="13" spans="1:7">
      <c r="A13" t="s">
        <v>59</v>
      </c>
      <c r="B13">
        <v>6</v>
      </c>
      <c r="C13">
        <v>96</v>
      </c>
      <c r="D13" s="3">
        <v>2543839.16</v>
      </c>
      <c r="E13" s="2">
        <v>8760</v>
      </c>
      <c r="F13" s="2">
        <v>16</v>
      </c>
      <c r="G13">
        <v>98.9</v>
      </c>
    </row>
    <row r="14" spans="1:7">
      <c r="A14" t="s">
        <v>62</v>
      </c>
      <c r="B14">
        <v>15</v>
      </c>
      <c r="C14">
        <v>221.1</v>
      </c>
      <c r="D14" s="3">
        <v>5069958.419999999</v>
      </c>
      <c r="E14" s="2">
        <v>1752</v>
      </c>
      <c r="F14" s="2">
        <v>14.7</v>
      </c>
      <c r="G14">
        <v>97.48</v>
      </c>
    </row>
    <row r="15" spans="1:7">
      <c r="A15" t="s">
        <v>65</v>
      </c>
      <c r="B15">
        <v>8</v>
      </c>
      <c r="C15">
        <v>98.3</v>
      </c>
      <c r="D15" s="3">
        <v>1997038.69</v>
      </c>
      <c r="E15" s="2">
        <v>8760</v>
      </c>
      <c r="F15" s="2">
        <v>12.3</v>
      </c>
      <c r="G15">
        <v>98.88</v>
      </c>
    </row>
    <row r="16" spans="1:7">
      <c r="A16" t="s">
        <v>68</v>
      </c>
      <c r="B16">
        <v>5</v>
      </c>
      <c r="C16">
        <v>22.3</v>
      </c>
      <c r="D16" s="3">
        <v>1361589.34</v>
      </c>
      <c r="E16" s="2">
        <v>8760</v>
      </c>
      <c r="F16" s="2">
        <v>4.5</v>
      </c>
      <c r="G16">
        <v>99.75</v>
      </c>
    </row>
    <row r="17" spans="1:7">
      <c r="A17" t="s">
        <v>71</v>
      </c>
      <c r="B17">
        <v>10</v>
      </c>
      <c r="C17">
        <v>82.5</v>
      </c>
      <c r="D17" s="3">
        <v>2461897.2000000002</v>
      </c>
      <c r="E17" s="2">
        <v>8760</v>
      </c>
      <c r="F17" s="2">
        <v>8.1999999999999993</v>
      </c>
      <c r="G17">
        <v>99.06</v>
      </c>
    </row>
    <row r="18" spans="1:7">
      <c r="A18" t="s">
        <v>75</v>
      </c>
      <c r="B18">
        <v>9</v>
      </c>
      <c r="C18">
        <v>219.3</v>
      </c>
      <c r="D18" s="3">
        <v>3733250.96</v>
      </c>
      <c r="E18" s="2">
        <v>4380</v>
      </c>
      <c r="F18" s="2">
        <v>24.4</v>
      </c>
      <c r="G18">
        <v>97.5</v>
      </c>
    </row>
    <row r="19" spans="1:7">
      <c r="A19" t="s">
        <v>79</v>
      </c>
      <c r="B19">
        <v>12</v>
      </c>
      <c r="C19">
        <v>180.2</v>
      </c>
      <c r="D19" s="3">
        <v>3201255.31</v>
      </c>
      <c r="E19" s="2">
        <v>8760</v>
      </c>
      <c r="F19" s="2">
        <v>15</v>
      </c>
      <c r="G19">
        <v>97.94</v>
      </c>
    </row>
    <row r="20" spans="1:7">
      <c r="A20" t="s">
        <v>82</v>
      </c>
      <c r="B20">
        <v>10</v>
      </c>
      <c r="C20">
        <v>135</v>
      </c>
      <c r="D20" s="3">
        <v>2501782.88</v>
      </c>
      <c r="E20" s="2">
        <v>8760</v>
      </c>
      <c r="F20" s="2">
        <v>13.5</v>
      </c>
      <c r="G20">
        <v>98.46</v>
      </c>
    </row>
    <row r="21" spans="1:7">
      <c r="A21" t="s">
        <v>85</v>
      </c>
      <c r="B21">
        <v>8</v>
      </c>
      <c r="C21">
        <v>195.8</v>
      </c>
      <c r="D21" s="3">
        <v>2727608.98</v>
      </c>
      <c r="E21" s="2">
        <v>4380</v>
      </c>
      <c r="F21" s="2">
        <v>24.5</v>
      </c>
      <c r="G21">
        <v>97.76</v>
      </c>
    </row>
    <row r="22" spans="1:7">
      <c r="A22" t="s">
        <v>88</v>
      </c>
      <c r="B22">
        <v>5</v>
      </c>
      <c r="C22">
        <v>76.5</v>
      </c>
      <c r="D22" s="3">
        <v>2017877.5</v>
      </c>
      <c r="E22" s="2">
        <v>8760</v>
      </c>
      <c r="F22" s="2">
        <v>15.3</v>
      </c>
      <c r="G22">
        <v>99.13</v>
      </c>
    </row>
    <row r="23" spans="1:7">
      <c r="A23" t="s">
        <v>92</v>
      </c>
      <c r="B23">
        <v>17</v>
      </c>
      <c r="C23">
        <v>204.1</v>
      </c>
      <c r="D23" s="3">
        <v>4277274.25</v>
      </c>
      <c r="E23" s="2">
        <v>2920</v>
      </c>
      <c r="F23" s="2">
        <v>12</v>
      </c>
      <c r="G23">
        <v>97.67</v>
      </c>
    </row>
    <row r="24" spans="1:7">
      <c r="A24" t="s">
        <v>95</v>
      </c>
      <c r="B24">
        <v>7</v>
      </c>
      <c r="C24">
        <v>154.69999999999999</v>
      </c>
      <c r="D24" s="3">
        <v>1862680.54</v>
      </c>
      <c r="E24" s="2">
        <v>8760</v>
      </c>
      <c r="F24" s="2">
        <v>22.1</v>
      </c>
      <c r="G24">
        <v>98.23</v>
      </c>
    </row>
    <row r="25" spans="1:7">
      <c r="A25" t="s">
        <v>98</v>
      </c>
      <c r="B25">
        <v>9</v>
      </c>
      <c r="C25">
        <v>95.800000000000011</v>
      </c>
      <c r="D25" s="3">
        <v>2216636.5099999998</v>
      </c>
      <c r="E25" s="2">
        <v>4380</v>
      </c>
      <c r="F25" s="2">
        <v>10.6</v>
      </c>
      <c r="G25">
        <v>98.91</v>
      </c>
    </row>
    <row r="26" spans="1:7">
      <c r="A26" t="s">
        <v>102</v>
      </c>
      <c r="B26">
        <v>7</v>
      </c>
      <c r="C26">
        <v>64.599999999999994</v>
      </c>
      <c r="D26" s="3">
        <v>1727225.44</v>
      </c>
      <c r="E26" s="2">
        <v>8760</v>
      </c>
      <c r="F26" s="2">
        <v>9.1999999999999993</v>
      </c>
      <c r="G26">
        <v>99.26</v>
      </c>
    </row>
    <row r="27" spans="1:7">
      <c r="A27" t="s">
        <v>105</v>
      </c>
      <c r="B27">
        <v>5</v>
      </c>
      <c r="C27">
        <v>33.700000000000003</v>
      </c>
      <c r="D27" s="3">
        <v>1047945.41</v>
      </c>
      <c r="E27" s="2">
        <v>8760</v>
      </c>
      <c r="F27" s="2">
        <v>6.7</v>
      </c>
      <c r="G27">
        <v>99.62</v>
      </c>
    </row>
    <row r="28" spans="1:7">
      <c r="A28" t="s">
        <v>108</v>
      </c>
      <c r="B28">
        <v>15</v>
      </c>
      <c r="C28">
        <v>158.5</v>
      </c>
      <c r="D28" s="3">
        <v>3648047.41</v>
      </c>
      <c r="E28" s="2">
        <v>4380</v>
      </c>
      <c r="F28" s="2">
        <v>10.6</v>
      </c>
      <c r="G28">
        <v>98.19</v>
      </c>
    </row>
    <row r="29" spans="1:7">
      <c r="A29" t="s">
        <v>111</v>
      </c>
      <c r="B29">
        <v>6</v>
      </c>
      <c r="C29">
        <v>142.30000000000001</v>
      </c>
      <c r="D29" s="3">
        <v>2668404.48</v>
      </c>
      <c r="E29" s="2">
        <v>8760</v>
      </c>
      <c r="F29" s="2">
        <v>23.7</v>
      </c>
      <c r="G29">
        <v>98.38</v>
      </c>
    </row>
    <row r="30" spans="1:7">
      <c r="A30" t="s">
        <v>113</v>
      </c>
      <c r="B30">
        <v>10</v>
      </c>
      <c r="C30">
        <v>88</v>
      </c>
      <c r="D30" s="3">
        <v>1800936.38</v>
      </c>
      <c r="E30" s="2">
        <v>8760</v>
      </c>
      <c r="F30" s="2">
        <v>8.8000000000000007</v>
      </c>
      <c r="G30">
        <v>99</v>
      </c>
    </row>
    <row r="31" spans="1:7">
      <c r="A31" t="s">
        <v>117</v>
      </c>
      <c r="B31">
        <v>19</v>
      </c>
      <c r="C31">
        <v>159.9</v>
      </c>
      <c r="D31" s="3">
        <v>4382057.4399999985</v>
      </c>
      <c r="E31" s="2">
        <v>4380</v>
      </c>
      <c r="F31" s="2">
        <v>8.4</v>
      </c>
      <c r="G31">
        <v>98.17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selection activeCell="K1" sqref="K1"/>
    </sheetView>
  </sheetViews>
  <sheetFormatPr defaultRowHeight="15"/>
  <cols>
    <col min="1" max="1" width="13.140625" customWidth="1"/>
    <col min="2" max="2" width="11.28515625" customWidth="1"/>
    <col min="3" max="3" width="17" customWidth="1"/>
    <col min="4" max="4" width="16.140625" customWidth="1"/>
    <col min="5" max="5" width="16.28515625" customWidth="1"/>
    <col min="6" max="6" width="18.7109375" style="2" customWidth="1"/>
    <col min="7" max="8" width="20.7109375" style="3" customWidth="1"/>
    <col min="9" max="9" width="19.7109375" customWidth="1"/>
    <col min="10" max="10" width="13.5703125" customWidth="1"/>
    <col min="11" max="11" width="13.140625" customWidth="1"/>
    <col min="12" max="12" width="11.85546875" customWidth="1"/>
  </cols>
  <sheetData>
    <row r="1" spans="1:11">
      <c r="A1" s="1" t="s">
        <v>1500</v>
      </c>
      <c r="B1" s="1" t="s">
        <v>1494</v>
      </c>
      <c r="C1" s="1" t="s">
        <v>1501</v>
      </c>
      <c r="D1" s="1" t="s">
        <v>1502</v>
      </c>
      <c r="E1" s="1" t="s">
        <v>1503</v>
      </c>
      <c r="F1" s="1" t="s">
        <v>1495</v>
      </c>
      <c r="G1" s="1" t="s">
        <v>1504</v>
      </c>
      <c r="H1" s="1" t="s">
        <v>1505</v>
      </c>
      <c r="I1" s="1" t="s">
        <v>1506</v>
      </c>
      <c r="J1" s="1" t="s">
        <v>1507</v>
      </c>
      <c r="K1" s="1" t="s">
        <v>1508</v>
      </c>
    </row>
    <row r="2" spans="1:11">
      <c r="A2">
        <v>30</v>
      </c>
      <c r="B2">
        <v>402</v>
      </c>
      <c r="C2">
        <v>330</v>
      </c>
      <c r="D2">
        <v>40</v>
      </c>
      <c r="E2">
        <v>23</v>
      </c>
      <c r="F2" s="2">
        <v>4221.2</v>
      </c>
      <c r="G2" s="3">
        <v>89101251.00999999</v>
      </c>
      <c r="H2" s="3">
        <v>12.791515151515149</v>
      </c>
      <c r="I2">
        <v>270003.79093939392</v>
      </c>
      <c r="J2">
        <v>50</v>
      </c>
      <c r="K2">
        <v>15.75757575757576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ACC2-F641-4663-BB01-21364619A9D5}">
  <dimension ref="A1:C65"/>
  <sheetViews>
    <sheetView workbookViewId="0">
      <selection activeCell="T14" sqref="T14"/>
    </sheetView>
  </sheetViews>
  <sheetFormatPr defaultRowHeight="15"/>
  <cols>
    <col min="1" max="1" width="15.140625" customWidth="1"/>
    <col min="2" max="2" width="10.42578125" bestFit="1" customWidth="1"/>
    <col min="3" max="3" width="12.28515625" bestFit="1" customWidth="1"/>
    <col min="4" max="4" width="10.7109375" bestFit="1" customWidth="1"/>
    <col min="5" max="5" width="8.140625" bestFit="1" customWidth="1"/>
  </cols>
  <sheetData>
    <row r="1" spans="1:3">
      <c r="A1" s="5" t="s">
        <v>133</v>
      </c>
      <c r="B1" s="5" t="s">
        <v>6</v>
      </c>
      <c r="C1" t="s">
        <v>1509</v>
      </c>
    </row>
    <row r="2" spans="1:3">
      <c r="A2">
        <v>1</v>
      </c>
      <c r="B2" t="s">
        <v>138</v>
      </c>
      <c r="C2" s="6">
        <v>330</v>
      </c>
    </row>
    <row r="3" spans="1:3">
      <c r="A3">
        <v>2</v>
      </c>
      <c r="B3" t="s">
        <v>147</v>
      </c>
      <c r="C3" s="6">
        <v>40</v>
      </c>
    </row>
    <row r="4" spans="1:3">
      <c r="A4">
        <v>3</v>
      </c>
      <c r="B4" t="s">
        <v>202</v>
      </c>
      <c r="C4" s="6">
        <v>23</v>
      </c>
    </row>
    <row r="5" spans="1:3">
      <c r="A5">
        <v>4</v>
      </c>
      <c r="B5" t="s">
        <v>271</v>
      </c>
      <c r="C5" s="6">
        <v>9</v>
      </c>
    </row>
    <row r="13" spans="1:3">
      <c r="A13" s="5" t="s">
        <v>6</v>
      </c>
      <c r="B13" t="s">
        <v>1510</v>
      </c>
    </row>
    <row r="15" spans="1:3">
      <c r="A15" s="5" t="s">
        <v>134</v>
      </c>
      <c r="B15" s="5" t="s">
        <v>121</v>
      </c>
      <c r="C15" t="s">
        <v>1511</v>
      </c>
    </row>
    <row r="16" spans="1:3">
      <c r="A16">
        <v>1</v>
      </c>
      <c r="B16" t="s">
        <v>158</v>
      </c>
      <c r="C16" s="6">
        <v>198</v>
      </c>
    </row>
    <row r="17" spans="1:3">
      <c r="A17">
        <v>2</v>
      </c>
      <c r="B17" t="s">
        <v>137</v>
      </c>
      <c r="C17" s="6">
        <v>35</v>
      </c>
    </row>
    <row r="18" spans="1:3">
      <c r="A18">
        <v>3</v>
      </c>
      <c r="B18" t="s">
        <v>146</v>
      </c>
      <c r="C18" s="6">
        <v>90</v>
      </c>
    </row>
    <row r="19" spans="1:3">
      <c r="A19">
        <v>4</v>
      </c>
      <c r="B19" t="s">
        <v>169</v>
      </c>
      <c r="C19" s="6">
        <v>65</v>
      </c>
    </row>
    <row r="20" spans="1:3">
      <c r="A20">
        <v>5</v>
      </c>
      <c r="B20" t="s">
        <v>463</v>
      </c>
      <c r="C20" s="6">
        <v>14</v>
      </c>
    </row>
    <row r="28" spans="1:3">
      <c r="A28" s="5" t="s">
        <v>6</v>
      </c>
      <c r="B28" t="s">
        <v>1510</v>
      </c>
    </row>
    <row r="30" spans="1:3">
      <c r="A30" s="5" t="s">
        <v>132</v>
      </c>
      <c r="B30" t="s">
        <v>1512</v>
      </c>
    </row>
    <row r="31" spans="1:3">
      <c r="A31" t="s">
        <v>1513</v>
      </c>
      <c r="B31" s="3">
        <v>1697933.06</v>
      </c>
    </row>
    <row r="32" spans="1:3">
      <c r="A32" t="s">
        <v>1514</v>
      </c>
      <c r="B32" s="3">
        <v>4265011.88</v>
      </c>
    </row>
    <row r="33" spans="1:2">
      <c r="A33" t="s">
        <v>1515</v>
      </c>
      <c r="B33" s="3">
        <v>7611409.8500000006</v>
      </c>
    </row>
    <row r="34" spans="1:2">
      <c r="A34" t="s">
        <v>1516</v>
      </c>
      <c r="B34" s="3">
        <v>6476371.7400000002</v>
      </c>
    </row>
    <row r="35" spans="1:2">
      <c r="A35" t="s">
        <v>1517</v>
      </c>
      <c r="B35" s="3">
        <v>7039637.3499999987</v>
      </c>
    </row>
    <row r="36" spans="1:2">
      <c r="A36" t="s">
        <v>1518</v>
      </c>
      <c r="B36" s="3">
        <v>5728906.3499999996</v>
      </c>
    </row>
    <row r="37" spans="1:2">
      <c r="A37" t="s">
        <v>1519</v>
      </c>
      <c r="B37" s="3">
        <v>7992180.3799999999</v>
      </c>
    </row>
    <row r="38" spans="1:2">
      <c r="A38" t="s">
        <v>1520</v>
      </c>
      <c r="B38" s="3">
        <v>9376258.0299999975</v>
      </c>
    </row>
    <row r="39" spans="1:2">
      <c r="A39" t="s">
        <v>1521</v>
      </c>
      <c r="B39" s="3">
        <v>8451314.9900000002</v>
      </c>
    </row>
    <row r="40" spans="1:2">
      <c r="A40" t="s">
        <v>1522</v>
      </c>
      <c r="B40" s="3">
        <v>7147153.3099999996</v>
      </c>
    </row>
    <row r="41" spans="1:2">
      <c r="A41" t="s">
        <v>1523</v>
      </c>
      <c r="B41" s="3">
        <v>8528918.879999999</v>
      </c>
    </row>
    <row r="42" spans="1:2">
      <c r="A42" t="s">
        <v>1524</v>
      </c>
      <c r="B42" s="3">
        <v>7234946.7599999998</v>
      </c>
    </row>
    <row r="43" spans="1:2">
      <c r="A43" t="s">
        <v>1525</v>
      </c>
      <c r="B43" s="3">
        <v>7551208.4299999988</v>
      </c>
    </row>
    <row r="55" spans="1:2">
      <c r="A55" s="5" t="s">
        <v>0</v>
      </c>
      <c r="B55" t="s">
        <v>1526</v>
      </c>
    </row>
    <row r="56" spans="1:2">
      <c r="A56" t="s">
        <v>79</v>
      </c>
      <c r="B56" s="6">
        <v>180.2</v>
      </c>
    </row>
    <row r="57" spans="1:2">
      <c r="A57" t="s">
        <v>39</v>
      </c>
      <c r="B57" s="6">
        <v>183.6</v>
      </c>
    </row>
    <row r="58" spans="1:2">
      <c r="A58" t="s">
        <v>85</v>
      </c>
      <c r="B58" s="6">
        <v>195.8</v>
      </c>
    </row>
    <row r="59" spans="1:2">
      <c r="A59" t="s">
        <v>92</v>
      </c>
      <c r="B59" s="6">
        <v>204.1</v>
      </c>
    </row>
    <row r="60" spans="1:2">
      <c r="A60" t="s">
        <v>14</v>
      </c>
      <c r="B60" s="6">
        <v>205</v>
      </c>
    </row>
    <row r="61" spans="1:2">
      <c r="A61" t="s">
        <v>50</v>
      </c>
      <c r="B61" s="6">
        <v>207.8</v>
      </c>
    </row>
    <row r="62" spans="1:2">
      <c r="A62" t="s">
        <v>34</v>
      </c>
      <c r="B62" s="6">
        <v>212.1</v>
      </c>
    </row>
    <row r="63" spans="1:2">
      <c r="A63" t="s">
        <v>75</v>
      </c>
      <c r="B63" s="6">
        <v>219.3</v>
      </c>
    </row>
    <row r="64" spans="1:2">
      <c r="A64" t="s">
        <v>62</v>
      </c>
      <c r="B64" s="6">
        <v>221.1</v>
      </c>
    </row>
    <row r="65" spans="1:2">
      <c r="A65" t="s">
        <v>24</v>
      </c>
      <c r="B65" s="6">
        <v>304.89999999999998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A7EF-CC5F-41A0-833F-9A228AF6A3A4}">
  <sheetPr>
    <pageSetUpPr fitToPage="1"/>
  </sheetPr>
  <dimension ref="B1:W14"/>
  <sheetViews>
    <sheetView tabSelected="1" topLeftCell="A3" workbookViewId="0">
      <selection activeCell="T12" sqref="T12"/>
    </sheetView>
  </sheetViews>
  <sheetFormatPr defaultRowHeight="15"/>
  <cols>
    <col min="1" max="1" width="10" customWidth="1"/>
    <col min="2" max="3" width="23.5703125" customWidth="1"/>
    <col min="4" max="4" width="7.5703125" customWidth="1"/>
    <col min="5" max="5" width="24" customWidth="1"/>
    <col min="6" max="6" width="27.5703125" customWidth="1"/>
    <col min="7" max="7" width="9.85546875" customWidth="1"/>
    <col min="8" max="9" width="23.42578125" customWidth="1"/>
    <col min="10" max="10" width="10" customWidth="1"/>
    <col min="11" max="11" width="27.42578125" customWidth="1"/>
    <col min="13" max="13" width="31.85546875" customWidth="1"/>
    <col min="14" max="14" width="7.7109375" customWidth="1"/>
    <col min="15" max="15" width="31.28515625" customWidth="1"/>
    <col min="16" max="16" width="9.28515625" customWidth="1"/>
    <col min="17" max="17" width="20.85546875" customWidth="1"/>
    <col min="19" max="19" width="25.5703125" bestFit="1" customWidth="1"/>
    <col min="20" max="20" width="28.28515625" bestFit="1" customWidth="1"/>
    <col min="22" max="22" width="25.42578125" bestFit="1" customWidth="1"/>
  </cols>
  <sheetData>
    <row r="1" spans="2:23" ht="46.5" customHeight="1">
      <c r="B1" s="10" t="s">
        <v>1527</v>
      </c>
      <c r="C1" s="10"/>
      <c r="D1" s="9"/>
      <c r="E1" s="9"/>
      <c r="F1" s="9"/>
      <c r="G1" s="9"/>
      <c r="H1" s="9"/>
      <c r="I1" s="9"/>
      <c r="J1" s="9"/>
      <c r="K1" s="9"/>
      <c r="L1" s="9"/>
    </row>
    <row r="5" spans="2:23" ht="30" customHeight="1">
      <c r="B5" s="17" t="s">
        <v>1528</v>
      </c>
      <c r="C5" s="12"/>
      <c r="D5" s="12"/>
      <c r="E5" s="21" t="s">
        <v>1529</v>
      </c>
      <c r="F5" s="16"/>
      <c r="G5" s="20"/>
      <c r="H5" s="17" t="s">
        <v>1530</v>
      </c>
      <c r="I5" s="12"/>
      <c r="J5" s="12"/>
      <c r="K5" s="19" t="s">
        <v>1531</v>
      </c>
      <c r="M5" s="17" t="s">
        <v>1532</v>
      </c>
      <c r="N5" s="12"/>
      <c r="O5" s="11" t="s">
        <v>1533</v>
      </c>
      <c r="P5" s="12"/>
      <c r="Q5" s="23" t="s">
        <v>1534</v>
      </c>
      <c r="S5" s="12"/>
      <c r="T5" s="12"/>
      <c r="V5" s="12"/>
      <c r="W5" s="12"/>
    </row>
    <row r="6" spans="2:23" ht="26.25">
      <c r="B6" s="18">
        <f>KPI_Summary!B2</f>
        <v>402</v>
      </c>
      <c r="C6" s="13"/>
      <c r="D6" s="12"/>
      <c r="E6" s="18">
        <f>_xlfn.XLOOKUP("Completed_WO",KPI_Summary!1:1,KPI_Summary!2:2)</f>
        <v>330</v>
      </c>
      <c r="F6" s="13"/>
      <c r="G6" s="12"/>
      <c r="H6" s="18">
        <f>_xlfn.XLOOKUP("Total_Downtime_Hours",KPI_Summary!1:1,KPI_Summary!2:2)</f>
        <v>4221.2</v>
      </c>
      <c r="I6" s="13"/>
      <c r="J6" s="12"/>
      <c r="K6" s="22">
        <f>_xlfn.XLOOKUP("Total_Maintenance_Cost_NGN",KPI_Summary!1:1,KPI_Summary!2:2)</f>
        <v>89101251.00999999</v>
      </c>
      <c r="M6" s="25">
        <f>_xlfn.XLOOKUP("Avg_Downtime_Hours",KPI_Summary!1:1,KPI_Summary!2:2)</f>
        <v>12.791515151515149</v>
      </c>
      <c r="N6" s="12"/>
      <c r="O6" s="15">
        <f>_xlfn.XLOOKUP("Avg_Cost_Per_WO_NGN",KPI_Summary!1:1,KPI_Summary!2:2)</f>
        <v>270003.79093939392</v>
      </c>
      <c r="P6" s="12"/>
      <c r="Q6" s="24">
        <f>_xlfn.XLOOKUP("Preventive_Maintenance_Pct",KPI_Summary!1:1,KPI_Summary!2:2)/100</f>
        <v>0.5</v>
      </c>
      <c r="S6" s="12"/>
      <c r="T6" s="12"/>
      <c r="V6" s="12"/>
      <c r="W6" s="12"/>
    </row>
    <row r="7" spans="2:23">
      <c r="B7" s="12"/>
      <c r="C7" s="12"/>
      <c r="D7" s="12"/>
      <c r="E7" s="12"/>
      <c r="F7" s="12"/>
      <c r="G7" s="12"/>
      <c r="J7" s="12"/>
      <c r="K7" s="12"/>
      <c r="M7" s="12"/>
      <c r="N7" s="12"/>
      <c r="P7" s="12"/>
      <c r="Q7" s="12"/>
      <c r="S7" s="12"/>
      <c r="T7" s="12"/>
    </row>
    <row r="8" spans="2:23">
      <c r="T8" s="26" t="s">
        <v>1535</v>
      </c>
    </row>
    <row r="13" spans="2:23">
      <c r="N13" s="14"/>
    </row>
    <row r="14" spans="2:23">
      <c r="G14" s="8"/>
    </row>
  </sheetData>
  <mergeCells count="1">
    <mergeCell ref="B1:L1"/>
  </mergeCells>
  <pageMargins left="1" right="1" top="1" bottom="1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2025-12-22T20:44:43Z</dcterms:created>
  <dcterms:modified xsi:type="dcterms:W3CDTF">2025-12-24T17:05:55Z</dcterms:modified>
  <cp:category/>
  <cp:contentStatus/>
</cp:coreProperties>
</file>